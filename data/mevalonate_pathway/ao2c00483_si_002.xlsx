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ckwing/Dropbox/Boston/phd/shared/"/>
    </mc:Choice>
  </mc:AlternateContent>
  <xr:revisionPtr revIDLastSave="0" documentId="13_ncr:1_{AD7A1154-FF69-BB4A-8D62-8DCFE817AA5D}" xr6:coauthVersionLast="40" xr6:coauthVersionMax="46" xr10:uidLastSave="{00000000-0000-0000-0000-000000000000}"/>
  <bookViews>
    <workbookView xWindow="6260" yWindow="3380" windowWidth="28040" windowHeight="17440" activeTab="1" xr2:uid="{CE8E52A9-8C6E-465B-9F96-6C730055AAA2}"/>
  </bookViews>
  <sheets>
    <sheet name="Table S2" sheetId="1" r:id="rId1"/>
    <sheet name="Table S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2" i="1" l="1"/>
  <c r="K2" i="1"/>
  <c r="K666" i="1" l="1"/>
  <c r="J666" i="1"/>
  <c r="K658" i="1"/>
  <c r="J658" i="1"/>
  <c r="K650" i="1"/>
  <c r="J650" i="1"/>
  <c r="K642" i="1"/>
  <c r="J642" i="1"/>
  <c r="K634" i="1"/>
  <c r="J634" i="1"/>
  <c r="K626" i="1"/>
  <c r="J626" i="1"/>
  <c r="K618" i="1"/>
  <c r="J618" i="1"/>
  <c r="K610" i="1"/>
  <c r="J610" i="1"/>
  <c r="K602" i="1"/>
  <c r="J602" i="1"/>
  <c r="K594" i="1"/>
  <c r="J594" i="1"/>
  <c r="K586" i="1"/>
  <c r="J586" i="1"/>
  <c r="K578" i="1"/>
  <c r="J578" i="1"/>
  <c r="K570" i="1"/>
  <c r="J570" i="1"/>
  <c r="K562" i="1"/>
  <c r="J562" i="1"/>
  <c r="K554" i="1"/>
  <c r="J554" i="1"/>
  <c r="K546" i="1"/>
  <c r="J546" i="1"/>
  <c r="K538" i="1"/>
  <c r="J538" i="1"/>
  <c r="K530" i="1"/>
  <c r="J530" i="1"/>
  <c r="K522" i="1"/>
  <c r="J522" i="1"/>
  <c r="K514" i="1"/>
  <c r="J514" i="1"/>
  <c r="K506" i="1"/>
  <c r="J506" i="1"/>
  <c r="K498" i="1"/>
  <c r="J498" i="1"/>
  <c r="K490" i="1"/>
  <c r="J490" i="1"/>
  <c r="K482" i="1"/>
  <c r="J482" i="1"/>
  <c r="K474" i="1"/>
  <c r="J474" i="1"/>
  <c r="K466" i="1"/>
  <c r="J466" i="1"/>
  <c r="K458" i="1"/>
  <c r="J458" i="1"/>
  <c r="K450" i="1"/>
  <c r="J450" i="1"/>
  <c r="K442" i="1"/>
  <c r="J442" i="1"/>
  <c r="K434" i="1"/>
  <c r="J434" i="1"/>
  <c r="K426" i="1"/>
  <c r="J426" i="1"/>
  <c r="K418" i="1"/>
  <c r="J418" i="1"/>
  <c r="K410" i="1"/>
  <c r="J410" i="1"/>
  <c r="K402" i="1"/>
  <c r="J402" i="1"/>
  <c r="K394" i="1"/>
  <c r="J394" i="1"/>
  <c r="K386" i="1"/>
  <c r="J386" i="1"/>
  <c r="K378" i="1"/>
  <c r="J378" i="1"/>
  <c r="K370" i="1"/>
  <c r="J370" i="1"/>
  <c r="K362" i="1"/>
  <c r="J362" i="1"/>
  <c r="K354" i="1"/>
  <c r="J354" i="1"/>
  <c r="K346" i="1"/>
  <c r="J346" i="1"/>
  <c r="K338" i="1"/>
  <c r="J338" i="1"/>
  <c r="K330" i="1"/>
  <c r="J330" i="1"/>
  <c r="K322" i="1"/>
  <c r="J322" i="1"/>
  <c r="K314" i="1"/>
  <c r="J314" i="1"/>
  <c r="K306" i="1"/>
  <c r="J306" i="1"/>
  <c r="K298" i="1"/>
  <c r="J298" i="1"/>
  <c r="K290" i="1"/>
  <c r="J290" i="1"/>
  <c r="K282" i="1"/>
  <c r="J282" i="1"/>
  <c r="K274" i="1"/>
  <c r="J274" i="1"/>
  <c r="K266" i="1"/>
  <c r="J266" i="1"/>
  <c r="K258" i="1"/>
  <c r="J258" i="1"/>
  <c r="K250" i="1"/>
  <c r="J250" i="1"/>
  <c r="K242" i="1"/>
  <c r="J242" i="1"/>
  <c r="K234" i="1"/>
  <c r="J234" i="1"/>
  <c r="K226" i="1"/>
  <c r="J226" i="1"/>
  <c r="K218" i="1"/>
  <c r="J218" i="1"/>
  <c r="K210" i="1"/>
  <c r="J210" i="1"/>
  <c r="K202" i="1"/>
  <c r="J202" i="1"/>
  <c r="K194" i="1"/>
  <c r="J194" i="1"/>
  <c r="K186" i="1"/>
  <c r="J186" i="1"/>
  <c r="K178" i="1"/>
  <c r="J178" i="1"/>
  <c r="K170" i="1"/>
  <c r="J170" i="1"/>
  <c r="K162" i="1"/>
  <c r="J162" i="1"/>
  <c r="K154" i="1"/>
  <c r="J154" i="1"/>
  <c r="K146" i="1"/>
  <c r="J146" i="1"/>
  <c r="K138" i="1"/>
  <c r="J138" i="1"/>
  <c r="K130" i="1"/>
  <c r="J130" i="1"/>
  <c r="K122" i="1"/>
  <c r="J122" i="1"/>
  <c r="K114" i="1"/>
  <c r="J114" i="1"/>
  <c r="K106" i="1"/>
  <c r="J106" i="1"/>
  <c r="K98" i="1"/>
  <c r="J98" i="1"/>
  <c r="K90" i="1"/>
  <c r="J90" i="1"/>
  <c r="K82" i="1"/>
  <c r="J82" i="1"/>
  <c r="K74" i="1"/>
  <c r="J74" i="1"/>
  <c r="K66" i="1"/>
  <c r="J66" i="1"/>
  <c r="K58" i="1"/>
  <c r="J58" i="1"/>
  <c r="K50" i="1"/>
  <c r="J50" i="1"/>
  <c r="K42" i="1"/>
  <c r="J42" i="1"/>
  <c r="K34" i="1"/>
  <c r="J34" i="1"/>
  <c r="K26" i="1"/>
  <c r="J26" i="1"/>
</calcChain>
</file>

<file path=xl/sharedStrings.xml><?xml version="1.0" encoding="utf-8"?>
<sst xmlns="http://schemas.openxmlformats.org/spreadsheetml/2006/main" count="99" uniqueCount="98">
  <si>
    <t>Ara</t>
  </si>
  <si>
    <t>Cho</t>
  </si>
  <si>
    <t>Cuma</t>
  </si>
  <si>
    <t>IPTG</t>
  </si>
  <si>
    <t>Normalization</t>
  </si>
  <si>
    <t>Average</t>
  </si>
  <si>
    <t>Error</t>
  </si>
  <si>
    <t>Normalized Average</t>
  </si>
  <si>
    <t>p-value</t>
  </si>
  <si>
    <t>(L, L, L, L)</t>
  </si>
  <si>
    <t>(L, L, L, M)</t>
  </si>
  <si>
    <t>(L, L, L, H)</t>
  </si>
  <si>
    <t>(L, L, M, L)</t>
  </si>
  <si>
    <t>(L, L, M, M)</t>
  </si>
  <si>
    <t>(L, L, M, H)</t>
  </si>
  <si>
    <t>(L, L, H, L)</t>
  </si>
  <si>
    <t>(L, L, H, M)</t>
  </si>
  <si>
    <t>(L, L, H, H)</t>
  </si>
  <si>
    <t>(L, M, L, L)</t>
  </si>
  <si>
    <t>(L, M, L, M)</t>
  </si>
  <si>
    <t>(L, M, L, H)</t>
  </si>
  <si>
    <t>(L, M, M, L)</t>
  </si>
  <si>
    <t>(L, M, M, M)</t>
  </si>
  <si>
    <t>(L, M, M, H)</t>
  </si>
  <si>
    <t>(L, M, H, L)</t>
  </si>
  <si>
    <t>(L, M, H, M)</t>
  </si>
  <si>
    <t>(L, M, H, H)</t>
  </si>
  <si>
    <t>(L, H, L, L)</t>
  </si>
  <si>
    <t>(L, H, L, M)</t>
  </si>
  <si>
    <t>(L, H, L, H)</t>
  </si>
  <si>
    <t>(L, H, M, L)</t>
  </si>
  <si>
    <t>(L, H, M, M)</t>
  </si>
  <si>
    <t>(L, H, M, H)</t>
  </si>
  <si>
    <t>(L, H, H, L)</t>
  </si>
  <si>
    <t>(L, H, H, M)</t>
  </si>
  <si>
    <t>(L, H, H, H)</t>
  </si>
  <si>
    <t>(M, L, L, L)</t>
  </si>
  <si>
    <t>(M, L, L, M)</t>
  </si>
  <si>
    <t>(M, L, L, H)</t>
  </si>
  <si>
    <t>(M, L, M, L)</t>
  </si>
  <si>
    <t>(M, L, M, M)</t>
  </si>
  <si>
    <t>(M, L, M, H)</t>
  </si>
  <si>
    <t>(M, L, H, L)</t>
  </si>
  <si>
    <t>(M, L, H, M)</t>
  </si>
  <si>
    <t>(M, L, H, H)</t>
  </si>
  <si>
    <t>(M, M, L, L)</t>
  </si>
  <si>
    <t>(M, M, L, M)</t>
  </si>
  <si>
    <t>(M, M, L, H)</t>
  </si>
  <si>
    <t>(M, M, M, L)</t>
  </si>
  <si>
    <t>(M, M, M, M)</t>
  </si>
  <si>
    <t>(M, M, M, H)</t>
  </si>
  <si>
    <t>(M, M, H, L)</t>
  </si>
  <si>
    <t>(M, M, H, M)</t>
  </si>
  <si>
    <t>(M, M, H, H)</t>
  </si>
  <si>
    <t>(M, H, L, L)</t>
  </si>
  <si>
    <t>(M, H, L, M)</t>
  </si>
  <si>
    <t>(M, H, L, H)</t>
  </si>
  <si>
    <t>(M, H, M, L)</t>
  </si>
  <si>
    <t>(M, H, M, M)</t>
  </si>
  <si>
    <t>(M, H, M, H)</t>
  </si>
  <si>
    <t>(M, H, H, L)</t>
  </si>
  <si>
    <t>(M, H, H, M)</t>
  </si>
  <si>
    <t>(M, H, H, H)</t>
  </si>
  <si>
    <t>(H, L, L, L)</t>
  </si>
  <si>
    <t>(H, L, L, M)</t>
  </si>
  <si>
    <t>(H, L, L, H)</t>
  </si>
  <si>
    <t>(H, L, M, L)</t>
  </si>
  <si>
    <t>(H, L, M, M)</t>
  </si>
  <si>
    <t>(H, L, M, H)</t>
  </si>
  <si>
    <t>(H, L, H, L)</t>
  </si>
  <si>
    <t>(H, L, H, M)</t>
  </si>
  <si>
    <t>(H, L, H, H)</t>
  </si>
  <si>
    <t>(H, M, L, L)</t>
  </si>
  <si>
    <t>(H, M, L, M)</t>
  </si>
  <si>
    <t>(H, M, L, H)</t>
  </si>
  <si>
    <t>(H, M, M, L)</t>
  </si>
  <si>
    <t>(H, M, M, M)</t>
  </si>
  <si>
    <t>(H, M, M, H)</t>
  </si>
  <si>
    <t>(H, M, H, L)</t>
  </si>
  <si>
    <t>(H, M, H, M)</t>
  </si>
  <si>
    <t>(H, M, H, H)</t>
  </si>
  <si>
    <t>(H, H, L, L)</t>
  </si>
  <si>
    <t>(H, H, L, M)</t>
  </si>
  <si>
    <t>(H, H, L, H)</t>
  </si>
  <si>
    <t>(H, H, M, L)</t>
  </si>
  <si>
    <t>(H, H, M, M)</t>
  </si>
  <si>
    <t>(H, H, M, H)</t>
  </si>
  <si>
    <t>(H, H, H, L)</t>
  </si>
  <si>
    <t>(H, H, H, M)</t>
  </si>
  <si>
    <t>(H, H, H, H)</t>
  </si>
  <si>
    <t>Limonene (mg/L)</t>
  </si>
  <si>
    <t>Inducer profile (Ara, Cho, Cuma, IPTG)</t>
  </si>
  <si>
    <t>Reject null</t>
  </si>
  <si>
    <t>Rank of p-value</t>
  </si>
  <si>
    <t>Benjamini-Hochberg critical value</t>
  </si>
  <si>
    <t>Degrees of freedom</t>
  </si>
  <si>
    <t>*largest p-value that is less than its Benjamini-Hochberg critical value</t>
  </si>
  <si>
    <t>Welch's test 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</si>
</sst>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3" xfId="0" applyBorder="1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812E-D836-4FA9-A27B-2C421F6C0A2E}">
  <dimension ref="A1:K673"/>
  <sheetViews>
    <sheetView workbookViewId="0">
      <pane ySplit="1" topLeftCell="A2" activePane="bottomLeft" state="frozen"/>
      <selection pane="bottomLeft" activeCell="J7" sqref="J7"/>
    </sheetView>
  </sheetViews>
  <sheetFormatPr baseColWidth="10" defaultColWidth="8.83203125" defaultRowHeight="15" x14ac:dyDescent="0.2"/>
  <cols>
    <col min="5" max="5" width="15.6640625" customWidth="1"/>
    <col min="6" max="6" width="12.5" bestFit="1" customWidth="1"/>
    <col min="11" max="11" width="16.6640625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90</v>
      </c>
      <c r="F1" s="2" t="s">
        <v>4</v>
      </c>
      <c r="G1" s="2" t="s">
        <v>5</v>
      </c>
      <c r="H1" s="2" t="s">
        <v>6</v>
      </c>
      <c r="I1" s="3"/>
      <c r="J1" s="2" t="s">
        <v>5</v>
      </c>
      <c r="K1" s="4" t="s">
        <v>7</v>
      </c>
    </row>
    <row r="2" spans="1:11" x14ac:dyDescent="0.2">
      <c r="A2" s="5"/>
      <c r="B2" s="6"/>
      <c r="C2" s="6"/>
      <c r="D2" s="6">
        <v>100</v>
      </c>
      <c r="E2" s="6">
        <v>44.663563513513502</v>
      </c>
      <c r="F2" s="6">
        <v>0.96383323717432878</v>
      </c>
      <c r="G2" s="6">
        <v>1</v>
      </c>
      <c r="H2" s="6">
        <v>5.1147526495195314E-2</v>
      </c>
      <c r="I2" s="6"/>
      <c r="J2" s="6">
        <f>AVERAGE(E2:E25)</f>
        <v>75.536426230211802</v>
      </c>
      <c r="K2" s="7">
        <f>AVERAGE(F2:F25)</f>
        <v>1</v>
      </c>
    </row>
    <row r="3" spans="1:11" x14ac:dyDescent="0.2">
      <c r="A3" s="5"/>
      <c r="B3" s="6"/>
      <c r="C3" s="6"/>
      <c r="D3" s="6">
        <v>100</v>
      </c>
      <c r="E3" s="6">
        <v>48.015463917525771</v>
      </c>
      <c r="F3" s="6">
        <v>1.0361667628256712</v>
      </c>
      <c r="G3" s="6"/>
      <c r="H3" s="6"/>
      <c r="I3" s="6"/>
      <c r="J3" s="6"/>
      <c r="K3" s="7"/>
    </row>
    <row r="4" spans="1:11" x14ac:dyDescent="0.2">
      <c r="A4" s="5"/>
      <c r="B4" s="6"/>
      <c r="C4" s="6"/>
      <c r="D4" s="6">
        <v>100</v>
      </c>
      <c r="E4" s="6">
        <v>49.443499392466585</v>
      </c>
      <c r="F4" s="6">
        <v>1.1370238549943712</v>
      </c>
      <c r="G4" s="6"/>
      <c r="H4" s="6"/>
      <c r="I4" s="6"/>
      <c r="J4" s="6"/>
      <c r="K4" s="7"/>
    </row>
    <row r="5" spans="1:11" x14ac:dyDescent="0.2">
      <c r="A5" s="5"/>
      <c r="B5" s="6"/>
      <c r="C5" s="6"/>
      <c r="D5" s="6">
        <v>100</v>
      </c>
      <c r="E5" s="6">
        <v>37.526530612244898</v>
      </c>
      <c r="F5" s="6">
        <v>0.86297614500562903</v>
      </c>
      <c r="G5" s="6"/>
      <c r="H5" s="6"/>
      <c r="I5" s="6"/>
      <c r="J5" s="6"/>
      <c r="K5" s="7"/>
    </row>
    <row r="6" spans="1:11" x14ac:dyDescent="0.2">
      <c r="A6" s="5"/>
      <c r="B6" s="6"/>
      <c r="C6" s="6"/>
      <c r="D6" s="6">
        <v>100</v>
      </c>
      <c r="E6" s="6">
        <v>53.564586357039182</v>
      </c>
      <c r="F6" s="6">
        <v>1.3012078245234937</v>
      </c>
      <c r="G6" s="6">
        <v>1</v>
      </c>
      <c r="H6" s="6">
        <v>0.42597219053401991</v>
      </c>
      <c r="I6" s="6"/>
      <c r="J6" s="6"/>
      <c r="K6" s="7"/>
    </row>
    <row r="7" spans="1:11" x14ac:dyDescent="0.2">
      <c r="A7" s="5"/>
      <c r="B7" s="6"/>
      <c r="C7" s="6"/>
      <c r="D7" s="6">
        <v>100</v>
      </c>
      <c r="E7" s="6">
        <v>28.765976597659769</v>
      </c>
      <c r="F7" s="6">
        <v>0.69879217547650629</v>
      </c>
      <c r="G7" s="6"/>
      <c r="H7" s="6"/>
      <c r="I7" s="6"/>
      <c r="J7" s="6"/>
      <c r="K7" s="7"/>
    </row>
    <row r="8" spans="1:11" x14ac:dyDescent="0.2">
      <c r="A8" s="5"/>
      <c r="B8" s="6"/>
      <c r="C8" s="6"/>
      <c r="D8" s="6">
        <v>100</v>
      </c>
      <c r="E8" s="6">
        <v>26.714285714285715</v>
      </c>
      <c r="F8" s="6">
        <v>0.75108659795007715</v>
      </c>
      <c r="G8" s="6">
        <v>0.99999999999999989</v>
      </c>
      <c r="H8" s="6"/>
      <c r="I8" s="6"/>
      <c r="J8" s="6"/>
      <c r="K8" s="7"/>
    </row>
    <row r="9" spans="1:11" x14ac:dyDescent="0.2">
      <c r="A9" s="5"/>
      <c r="B9" s="6"/>
      <c r="C9" s="6"/>
      <c r="D9" s="6">
        <v>100</v>
      </c>
      <c r="E9" s="6">
        <v>44.42074927953891</v>
      </c>
      <c r="F9" s="6">
        <v>1.2489134020499226</v>
      </c>
      <c r="G9" s="6"/>
      <c r="H9" s="6"/>
      <c r="I9" s="6"/>
      <c r="J9" s="6"/>
      <c r="K9" s="7"/>
    </row>
    <row r="10" spans="1:11" x14ac:dyDescent="0.2">
      <c r="A10" s="5"/>
      <c r="B10" s="6"/>
      <c r="C10" s="6"/>
      <c r="D10" s="6">
        <v>100</v>
      </c>
      <c r="E10" s="6">
        <v>47.971995332555423</v>
      </c>
      <c r="F10" s="6">
        <v>1.0923318860415681</v>
      </c>
      <c r="G10" s="6">
        <v>1</v>
      </c>
      <c r="H10" s="6"/>
      <c r="I10" s="6"/>
      <c r="J10" s="6"/>
      <c r="K10" s="7"/>
    </row>
    <row r="11" spans="1:11" x14ac:dyDescent="0.2">
      <c r="A11" s="5"/>
      <c r="B11" s="6"/>
      <c r="C11" s="6"/>
      <c r="D11" s="6">
        <v>100</v>
      </c>
      <c r="E11" s="6">
        <v>39.862107004964145</v>
      </c>
      <c r="F11" s="6">
        <v>0.90766811395843194</v>
      </c>
      <c r="G11" s="6"/>
      <c r="H11" s="6"/>
      <c r="I11" s="6"/>
      <c r="J11" s="6"/>
      <c r="K11" s="7"/>
    </row>
    <row r="12" spans="1:11" x14ac:dyDescent="0.2">
      <c r="A12" s="5"/>
      <c r="B12" s="6"/>
      <c r="C12" s="6"/>
      <c r="D12" s="6">
        <v>100</v>
      </c>
      <c r="E12" s="6">
        <v>41.981640146878824</v>
      </c>
      <c r="F12" s="6">
        <v>0.90163259678112206</v>
      </c>
      <c r="G12" s="6">
        <v>1</v>
      </c>
      <c r="H12" s="6">
        <v>0.13911251572756</v>
      </c>
      <c r="I12" s="6"/>
      <c r="J12" s="6"/>
      <c r="K12" s="7"/>
    </row>
    <row r="13" spans="1:11" x14ac:dyDescent="0.2">
      <c r="A13" s="5"/>
      <c r="B13" s="6"/>
      <c r="C13" s="6"/>
      <c r="D13" s="6">
        <v>100</v>
      </c>
      <c r="E13" s="6">
        <v>51.141967621419674</v>
      </c>
      <c r="F13" s="6">
        <v>1.0983674032188779</v>
      </c>
      <c r="G13" s="6"/>
      <c r="H13" s="6"/>
      <c r="I13" s="6"/>
      <c r="J13" s="6"/>
      <c r="K13" s="7"/>
    </row>
    <row r="14" spans="1:11" x14ac:dyDescent="0.2">
      <c r="A14" s="5"/>
      <c r="B14" s="6"/>
      <c r="C14" s="6"/>
      <c r="D14" s="6">
        <v>100</v>
      </c>
      <c r="E14" s="6">
        <v>83.698051948051955</v>
      </c>
      <c r="F14" s="6">
        <v>0.96163438357303188</v>
      </c>
      <c r="G14" s="6">
        <v>1</v>
      </c>
      <c r="H14" s="6"/>
      <c r="I14" s="6"/>
      <c r="J14" s="6"/>
      <c r="K14" s="7"/>
    </row>
    <row r="15" spans="1:11" x14ac:dyDescent="0.2">
      <c r="A15" s="5"/>
      <c r="B15" s="6"/>
      <c r="C15" s="6"/>
      <c r="D15" s="6">
        <v>100</v>
      </c>
      <c r="E15" s="6">
        <v>90.376530612244906</v>
      </c>
      <c r="F15" s="6">
        <v>1.0383656164269683</v>
      </c>
      <c r="G15" s="6"/>
      <c r="H15" s="6"/>
      <c r="I15" s="6"/>
      <c r="J15" s="6"/>
      <c r="K15" s="7"/>
    </row>
    <row r="16" spans="1:11" x14ac:dyDescent="0.2">
      <c r="A16" s="5"/>
      <c r="B16" s="6"/>
      <c r="C16" s="6"/>
      <c r="D16" s="6">
        <v>100</v>
      </c>
      <c r="E16" s="6">
        <v>42.658711217183765</v>
      </c>
      <c r="F16" s="6">
        <v>1.117515339454539</v>
      </c>
      <c r="G16" s="6">
        <v>1</v>
      </c>
      <c r="H16" s="6">
        <v>0.16619178684348701</v>
      </c>
      <c r="I16" s="6"/>
      <c r="J16" s="6"/>
      <c r="K16" s="7"/>
    </row>
    <row r="17" spans="1:11" x14ac:dyDescent="0.2">
      <c r="A17" s="5"/>
      <c r="B17" s="6"/>
      <c r="C17" s="6"/>
      <c r="D17" s="6">
        <v>100</v>
      </c>
      <c r="E17" s="6">
        <v>33.686927560366357</v>
      </c>
      <c r="F17" s="6">
        <v>0.88248466054546115</v>
      </c>
      <c r="G17" s="6"/>
      <c r="H17" s="6"/>
      <c r="I17" s="6"/>
      <c r="J17" s="6"/>
      <c r="K17" s="7"/>
    </row>
    <row r="18" spans="1:11" x14ac:dyDescent="0.2">
      <c r="A18" s="5"/>
      <c r="B18" s="6"/>
      <c r="C18" s="6"/>
      <c r="D18" s="6">
        <v>100</v>
      </c>
      <c r="E18" s="6">
        <v>152.73492286115007</v>
      </c>
      <c r="F18" s="6">
        <v>1.1061737804301752</v>
      </c>
      <c r="G18" s="6">
        <v>1</v>
      </c>
      <c r="H18" s="6">
        <v>0.1501524002527766</v>
      </c>
      <c r="I18" s="6"/>
      <c r="J18" s="6"/>
      <c r="K18" s="7"/>
    </row>
    <row r="19" spans="1:11" x14ac:dyDescent="0.2">
      <c r="A19" s="5"/>
      <c r="B19" s="6"/>
      <c r="C19" s="6"/>
      <c r="D19" s="6">
        <v>100</v>
      </c>
      <c r="E19" s="6">
        <v>123.41503759398496</v>
      </c>
      <c r="F19" s="6">
        <v>0.89382621956982466</v>
      </c>
      <c r="G19" s="6"/>
      <c r="H19" s="6"/>
      <c r="I19" s="6"/>
      <c r="J19" s="6"/>
      <c r="K19" s="7"/>
    </row>
    <row r="20" spans="1:11" x14ac:dyDescent="0.2">
      <c r="A20" s="5"/>
      <c r="B20" s="6"/>
      <c r="C20" s="6"/>
      <c r="D20" s="6">
        <v>100</v>
      </c>
      <c r="E20" s="6">
        <v>148.61780104712042</v>
      </c>
      <c r="F20" s="6">
        <v>1.1840382951736319</v>
      </c>
      <c r="G20" s="6">
        <v>1</v>
      </c>
      <c r="H20" s="6">
        <v>0.26026945303057397</v>
      </c>
      <c r="I20" s="6"/>
      <c r="J20" s="6"/>
      <c r="K20" s="7"/>
    </row>
    <row r="21" spans="1:11" x14ac:dyDescent="0.2">
      <c r="A21" s="5"/>
      <c r="B21" s="6"/>
      <c r="C21" s="6"/>
      <c r="D21" s="6">
        <v>100</v>
      </c>
      <c r="E21" s="6">
        <v>102.41766233766234</v>
      </c>
      <c r="F21" s="6">
        <v>0.81596170482636821</v>
      </c>
      <c r="G21" s="6"/>
      <c r="H21" s="6"/>
      <c r="I21" s="6"/>
      <c r="J21" s="6"/>
      <c r="K21" s="7"/>
    </row>
    <row r="22" spans="1:11" x14ac:dyDescent="0.2">
      <c r="A22" s="5"/>
      <c r="B22" s="6"/>
      <c r="C22" s="6"/>
      <c r="D22" s="6">
        <v>100</v>
      </c>
      <c r="E22" s="6">
        <v>134.94089552238805</v>
      </c>
      <c r="F22" s="6">
        <v>1.0721800952166454</v>
      </c>
      <c r="G22" s="6">
        <v>1</v>
      </c>
      <c r="H22" s="6">
        <v>0.10207806958876124</v>
      </c>
      <c r="I22" s="6"/>
      <c r="J22" s="6"/>
      <c r="K22" s="7"/>
    </row>
    <row r="23" spans="1:11" x14ac:dyDescent="0.2">
      <c r="A23" s="5"/>
      <c r="B23" s="6"/>
      <c r="C23" s="6"/>
      <c r="D23" s="6">
        <v>100</v>
      </c>
      <c r="E23" s="6">
        <v>116.77221895232491</v>
      </c>
      <c r="F23" s="6">
        <v>0.92781990478335463</v>
      </c>
      <c r="G23" s="6"/>
      <c r="H23" s="6"/>
      <c r="I23" s="6"/>
      <c r="J23" s="6"/>
      <c r="K23" s="7"/>
    </row>
    <row r="24" spans="1:11" x14ac:dyDescent="0.2">
      <c r="A24" s="5"/>
      <c r="B24" s="6"/>
      <c r="C24" s="6"/>
      <c r="D24" s="6">
        <v>100</v>
      </c>
      <c r="E24" s="6">
        <v>166.16677785190126</v>
      </c>
      <c r="F24" s="6">
        <v>1.2332259436646424</v>
      </c>
      <c r="G24" s="6">
        <v>1.0000000000000002</v>
      </c>
      <c r="H24" s="6">
        <v>0.3298312926278002</v>
      </c>
      <c r="I24" s="6"/>
      <c r="J24" s="6"/>
      <c r="K24" s="7"/>
    </row>
    <row r="25" spans="1:11" x14ac:dyDescent="0.2">
      <c r="A25" s="8"/>
      <c r="B25" s="9"/>
      <c r="C25" s="9"/>
      <c r="D25" s="9">
        <v>100</v>
      </c>
      <c r="E25" s="9">
        <v>103.31632653061226</v>
      </c>
      <c r="F25" s="9">
        <v>0.76677405633535789</v>
      </c>
      <c r="G25" s="9"/>
      <c r="H25" s="9"/>
      <c r="I25" s="9"/>
      <c r="J25" s="9"/>
      <c r="K25" s="10"/>
    </row>
    <row r="26" spans="1:11" x14ac:dyDescent="0.2">
      <c r="A26" s="11">
        <v>2</v>
      </c>
      <c r="B26" s="3">
        <v>50</v>
      </c>
      <c r="C26" s="3">
        <v>2</v>
      </c>
      <c r="D26" s="3">
        <v>25</v>
      </c>
      <c r="E26" s="3">
        <v>3.5830687927107063</v>
      </c>
      <c r="F26" s="3">
        <v>7.7322106026129822E-2</v>
      </c>
      <c r="G26" s="3">
        <v>0.21041641273443065</v>
      </c>
      <c r="H26" s="3">
        <v>0.18822377362152343</v>
      </c>
      <c r="I26" s="3"/>
      <c r="J26" s="3">
        <f>AVERAGE(E26:E33)</f>
        <v>10.683309838069819</v>
      </c>
      <c r="K26" s="12">
        <f>AVERAGE(F26:F33)</f>
        <v>0.19696985527707667</v>
      </c>
    </row>
    <row r="27" spans="1:11" x14ac:dyDescent="0.2">
      <c r="A27" s="5">
        <v>2</v>
      </c>
      <c r="B27" s="6">
        <v>50</v>
      </c>
      <c r="C27" s="6">
        <v>2</v>
      </c>
      <c r="D27" s="6">
        <v>25</v>
      </c>
      <c r="E27" s="6">
        <v>15.918119695044473</v>
      </c>
      <c r="F27" s="6">
        <v>0.34351071944273148</v>
      </c>
      <c r="G27" s="6"/>
      <c r="H27" s="6"/>
      <c r="I27" s="6"/>
      <c r="J27" s="6"/>
      <c r="K27" s="7"/>
    </row>
    <row r="28" spans="1:11" x14ac:dyDescent="0.2">
      <c r="A28" s="5">
        <v>2</v>
      </c>
      <c r="B28" s="6">
        <v>50</v>
      </c>
      <c r="C28" s="6">
        <v>2</v>
      </c>
      <c r="D28" s="6">
        <v>25</v>
      </c>
      <c r="E28" s="6">
        <v>18.708407871198567</v>
      </c>
      <c r="F28" s="6">
        <v>0.5259970104132986</v>
      </c>
      <c r="G28" s="6">
        <v>0.5259970104132986</v>
      </c>
      <c r="H28" s="6"/>
      <c r="I28" s="6"/>
      <c r="J28" s="6"/>
      <c r="K28" s="7"/>
    </row>
    <row r="29" spans="1:11" x14ac:dyDescent="0.2">
      <c r="A29" s="5">
        <v>2</v>
      </c>
      <c r="B29" s="6">
        <v>50</v>
      </c>
      <c r="C29" s="6">
        <v>2</v>
      </c>
      <c r="D29" s="6">
        <v>25</v>
      </c>
      <c r="E29" s="6"/>
      <c r="F29" s="6"/>
      <c r="G29" s="6"/>
      <c r="H29" s="6"/>
      <c r="I29" s="6"/>
      <c r="J29" s="6"/>
      <c r="K29" s="7"/>
    </row>
    <row r="30" spans="1:11" x14ac:dyDescent="0.2">
      <c r="A30" s="5">
        <v>2</v>
      </c>
      <c r="B30" s="6">
        <v>50</v>
      </c>
      <c r="C30" s="6">
        <v>2</v>
      </c>
      <c r="D30" s="6">
        <v>25</v>
      </c>
      <c r="E30" s="6">
        <v>8.1541353383458652</v>
      </c>
      <c r="F30" s="6">
        <v>9.368553660637266E-2</v>
      </c>
      <c r="G30" s="6">
        <v>9.368553660637266E-2</v>
      </c>
      <c r="H30" s="6"/>
      <c r="I30" s="6"/>
      <c r="J30" s="6"/>
      <c r="K30" s="7"/>
    </row>
    <row r="31" spans="1:11" x14ac:dyDescent="0.2">
      <c r="A31" s="5">
        <v>2</v>
      </c>
      <c r="B31" s="6">
        <v>50</v>
      </c>
      <c r="C31" s="6">
        <v>2</v>
      </c>
      <c r="D31" s="6">
        <v>25</v>
      </c>
      <c r="E31" s="6"/>
      <c r="F31" s="6"/>
      <c r="G31" s="6"/>
      <c r="H31" s="6"/>
      <c r="I31" s="6"/>
      <c r="J31" s="6"/>
      <c r="K31" s="7"/>
    </row>
    <row r="32" spans="1:11" x14ac:dyDescent="0.2">
      <c r="A32" s="5">
        <v>2</v>
      </c>
      <c r="B32" s="6">
        <v>50</v>
      </c>
      <c r="C32" s="6">
        <v>2</v>
      </c>
      <c r="D32" s="6">
        <v>25</v>
      </c>
      <c r="E32" s="6">
        <v>4.4363207547169807</v>
      </c>
      <c r="F32" s="6">
        <v>3.5344175638778702E-2</v>
      </c>
      <c r="G32" s="6">
        <v>7.0651879586963687E-2</v>
      </c>
      <c r="H32" s="6">
        <v>4.9932633779777282E-2</v>
      </c>
      <c r="I32" s="6"/>
      <c r="J32" s="6"/>
      <c r="K32" s="7"/>
    </row>
    <row r="33" spans="1:11" x14ac:dyDescent="0.2">
      <c r="A33" s="8">
        <v>2</v>
      </c>
      <c r="B33" s="9">
        <v>50</v>
      </c>
      <c r="C33" s="9">
        <v>2</v>
      </c>
      <c r="D33" s="9">
        <v>25</v>
      </c>
      <c r="E33" s="9">
        <v>13.299806576402322</v>
      </c>
      <c r="F33" s="9">
        <v>0.10595958353514867</v>
      </c>
      <c r="G33" s="9"/>
      <c r="H33" s="9"/>
      <c r="I33" s="9"/>
      <c r="J33" s="9"/>
      <c r="K33" s="10"/>
    </row>
    <row r="34" spans="1:11" x14ac:dyDescent="0.2">
      <c r="A34" s="11">
        <v>2</v>
      </c>
      <c r="B34" s="3">
        <v>50</v>
      </c>
      <c r="C34" s="3">
        <v>2</v>
      </c>
      <c r="D34" s="3">
        <v>100</v>
      </c>
      <c r="E34" s="3">
        <v>3.8500244800000001</v>
      </c>
      <c r="F34" s="3">
        <v>8.308297112558137E-2</v>
      </c>
      <c r="G34" s="3">
        <v>0.19793848402146647</v>
      </c>
      <c r="H34" s="3">
        <v>0.16243022405067858</v>
      </c>
      <c r="I34" s="3"/>
      <c r="J34" s="3">
        <f>AVERAGE(E34:E41)</f>
        <v>9.0467662416704684</v>
      </c>
      <c r="K34" s="12">
        <f t="shared" ref="K34" si="0">AVERAGE(F34:F41)</f>
        <v>0.13157771087782855</v>
      </c>
    </row>
    <row r="35" spans="1:11" x14ac:dyDescent="0.2">
      <c r="A35" s="5">
        <v>2</v>
      </c>
      <c r="B35" s="6">
        <v>50</v>
      </c>
      <c r="C35" s="6">
        <v>2</v>
      </c>
      <c r="D35" s="6">
        <v>100</v>
      </c>
      <c r="E35" s="6">
        <v>14.494721710283818</v>
      </c>
      <c r="F35" s="6">
        <v>0.31279399691735155</v>
      </c>
      <c r="G35" s="6"/>
      <c r="H35" s="6"/>
      <c r="I35" s="6"/>
      <c r="J35" s="6"/>
      <c r="K35" s="7"/>
    </row>
    <row r="36" spans="1:11" x14ac:dyDescent="0.2">
      <c r="A36" s="5">
        <v>2</v>
      </c>
      <c r="B36" s="6">
        <v>50</v>
      </c>
      <c r="C36" s="6">
        <v>2</v>
      </c>
      <c r="D36" s="6">
        <v>100</v>
      </c>
      <c r="E36" s="6">
        <v>2.0969387755102042</v>
      </c>
      <c r="F36" s="6">
        <v>5.8956568326486193E-2</v>
      </c>
      <c r="G36" s="6">
        <v>5.8956568326486193E-2</v>
      </c>
      <c r="H36" s="6"/>
      <c r="I36" s="6"/>
      <c r="J36" s="6"/>
      <c r="K36" s="7"/>
    </row>
    <row r="37" spans="1:11" x14ac:dyDescent="0.2">
      <c r="A37" s="5">
        <v>2</v>
      </c>
      <c r="B37" s="6">
        <v>50</v>
      </c>
      <c r="C37" s="6">
        <v>2</v>
      </c>
      <c r="D37" s="6">
        <v>100</v>
      </c>
      <c r="E37" s="6"/>
      <c r="F37" s="6"/>
      <c r="G37" s="6"/>
      <c r="H37" s="6"/>
      <c r="I37" s="6"/>
      <c r="J37" s="6"/>
      <c r="K37" s="7"/>
    </row>
    <row r="38" spans="1:11" x14ac:dyDescent="0.2">
      <c r="A38" s="5">
        <v>2</v>
      </c>
      <c r="B38" s="6">
        <v>50</v>
      </c>
      <c r="C38" s="6">
        <v>2</v>
      </c>
      <c r="D38" s="6">
        <v>100</v>
      </c>
      <c r="E38" s="6">
        <v>18.464516129032255</v>
      </c>
      <c r="F38" s="6">
        <v>0.21214488476669385</v>
      </c>
      <c r="G38" s="6">
        <v>0.21214488476669385</v>
      </c>
      <c r="H38" s="6"/>
      <c r="I38" s="6"/>
      <c r="J38" s="6"/>
      <c r="K38" s="7"/>
    </row>
    <row r="39" spans="1:11" x14ac:dyDescent="0.2">
      <c r="A39" s="5">
        <v>2</v>
      </c>
      <c r="B39" s="6">
        <v>50</v>
      </c>
      <c r="C39" s="6">
        <v>2</v>
      </c>
      <c r="D39" s="6">
        <v>100</v>
      </c>
      <c r="E39" s="6"/>
      <c r="F39" s="6"/>
      <c r="G39" s="6"/>
      <c r="H39" s="6"/>
      <c r="I39" s="6"/>
      <c r="J39" s="6"/>
      <c r="K39" s="7"/>
    </row>
    <row r="40" spans="1:11" x14ac:dyDescent="0.2">
      <c r="A40" s="5">
        <v>2</v>
      </c>
      <c r="B40" s="6">
        <v>50</v>
      </c>
      <c r="C40" s="6">
        <v>2</v>
      </c>
      <c r="D40" s="6">
        <v>100</v>
      </c>
      <c r="E40" s="6">
        <v>2.2087447108603664</v>
      </c>
      <c r="F40" s="6">
        <v>1.7597073187024904E-2</v>
      </c>
      <c r="G40" s="6">
        <v>6.1243922065429203E-2</v>
      </c>
      <c r="H40" s="6">
        <v>6.1725965638688284E-2</v>
      </c>
      <c r="I40" s="6"/>
      <c r="J40" s="6"/>
      <c r="K40" s="7"/>
    </row>
    <row r="41" spans="1:11" x14ac:dyDescent="0.2">
      <c r="A41" s="8">
        <v>2</v>
      </c>
      <c r="B41" s="9">
        <v>50</v>
      </c>
      <c r="C41" s="9">
        <v>2</v>
      </c>
      <c r="D41" s="9">
        <v>100</v>
      </c>
      <c r="E41" s="9">
        <v>13.165651644336176</v>
      </c>
      <c r="F41" s="9">
        <v>0.10489077094383351</v>
      </c>
      <c r="G41" s="9"/>
      <c r="H41" s="9"/>
      <c r="I41" s="9"/>
      <c r="J41" s="9"/>
      <c r="K41" s="10"/>
    </row>
    <row r="42" spans="1:11" x14ac:dyDescent="0.2">
      <c r="A42" s="11">
        <v>2</v>
      </c>
      <c r="B42" s="3">
        <v>50</v>
      </c>
      <c r="C42" s="3">
        <v>2</v>
      </c>
      <c r="D42" s="3">
        <v>200</v>
      </c>
      <c r="E42" s="3">
        <v>1.9873676120768529</v>
      </c>
      <c r="F42" s="3">
        <v>4.2887105468507769E-2</v>
      </c>
      <c r="G42" s="3">
        <v>0.19441122997177884</v>
      </c>
      <c r="H42" s="3">
        <v>0.21428747189923536</v>
      </c>
      <c r="I42" s="3"/>
      <c r="J42" s="3">
        <f>AVERAGE(E42:E49)</f>
        <v>9.6438066019920701</v>
      </c>
      <c r="K42" s="12">
        <f t="shared" ref="K42" si="1">AVERAGE(F42:F49)</f>
        <v>0.14276535968057727</v>
      </c>
    </row>
    <row r="43" spans="1:11" x14ac:dyDescent="0.2">
      <c r="A43" s="5">
        <v>2</v>
      </c>
      <c r="B43" s="6">
        <v>50</v>
      </c>
      <c r="C43" s="6">
        <v>2</v>
      </c>
      <c r="D43" s="6">
        <v>200</v>
      </c>
      <c r="E43" s="6">
        <v>16.030476103379723</v>
      </c>
      <c r="F43" s="6">
        <v>0.34593535447504992</v>
      </c>
      <c r="G43" s="6"/>
      <c r="H43" s="6"/>
      <c r="I43" s="6"/>
      <c r="J43" s="6"/>
      <c r="K43" s="7"/>
    </row>
    <row r="44" spans="1:11" x14ac:dyDescent="0.2">
      <c r="A44" s="5">
        <v>2</v>
      </c>
      <c r="B44" s="6">
        <v>50</v>
      </c>
      <c r="C44" s="6">
        <v>2</v>
      </c>
      <c r="D44" s="6">
        <v>200</v>
      </c>
      <c r="E44" s="6">
        <v>4.473902236951119</v>
      </c>
      <c r="F44" s="6">
        <v>0.12578618221919782</v>
      </c>
      <c r="G44" s="6">
        <v>0.12578618221919782</v>
      </c>
      <c r="H44" s="6"/>
      <c r="I44" s="6"/>
      <c r="J44" s="6"/>
      <c r="K44" s="7"/>
    </row>
    <row r="45" spans="1:11" x14ac:dyDescent="0.2">
      <c r="A45" s="5">
        <v>2</v>
      </c>
      <c r="B45" s="6">
        <v>50</v>
      </c>
      <c r="C45" s="6">
        <v>2</v>
      </c>
      <c r="D45" s="6">
        <v>200</v>
      </c>
      <c r="E45" s="6"/>
      <c r="F45" s="6"/>
      <c r="G45" s="6"/>
      <c r="H45" s="6"/>
      <c r="I45" s="6"/>
      <c r="J45" s="6"/>
      <c r="K45" s="7"/>
    </row>
    <row r="46" spans="1:11" x14ac:dyDescent="0.2">
      <c r="A46" s="5">
        <v>2</v>
      </c>
      <c r="B46" s="6">
        <v>50</v>
      </c>
      <c r="C46" s="6">
        <v>2</v>
      </c>
      <c r="D46" s="6">
        <v>200</v>
      </c>
      <c r="E46" s="6">
        <v>17.085852478839179</v>
      </c>
      <c r="F46" s="6">
        <v>0.19630496569389611</v>
      </c>
      <c r="G46" s="6">
        <v>0.19630496569389611</v>
      </c>
      <c r="H46" s="6"/>
      <c r="I46" s="6"/>
      <c r="J46" s="6"/>
      <c r="K46" s="7"/>
    </row>
    <row r="47" spans="1:11" x14ac:dyDescent="0.2">
      <c r="A47" s="5">
        <v>2</v>
      </c>
      <c r="B47" s="6">
        <v>50</v>
      </c>
      <c r="C47" s="6">
        <v>2</v>
      </c>
      <c r="D47" s="6">
        <v>200</v>
      </c>
      <c r="E47" s="6"/>
      <c r="F47" s="6"/>
      <c r="G47" s="6"/>
      <c r="H47" s="6"/>
      <c r="I47" s="6"/>
      <c r="J47" s="6"/>
      <c r="K47" s="7"/>
    </row>
    <row r="48" spans="1:11" x14ac:dyDescent="0.2">
      <c r="A48" s="5">
        <v>2</v>
      </c>
      <c r="B48" s="6">
        <v>50</v>
      </c>
      <c r="C48" s="6">
        <v>2</v>
      </c>
      <c r="D48" s="6">
        <v>200</v>
      </c>
      <c r="E48" s="6">
        <v>6.4666666666666668</v>
      </c>
      <c r="F48" s="6">
        <v>5.1519945265698766E-2</v>
      </c>
      <c r="G48" s="6">
        <v>7.2839275113405988E-2</v>
      </c>
      <c r="H48" s="6">
        <v>3.0150085411333055E-2</v>
      </c>
      <c r="I48" s="6"/>
      <c r="J48" s="6"/>
      <c r="K48" s="7"/>
    </row>
    <row r="49" spans="1:11" x14ac:dyDescent="0.2">
      <c r="A49" s="8">
        <v>2</v>
      </c>
      <c r="B49" s="9">
        <v>50</v>
      </c>
      <c r="C49" s="9">
        <v>2</v>
      </c>
      <c r="D49" s="9">
        <v>200</v>
      </c>
      <c r="E49" s="9">
        <v>11.818574514038877</v>
      </c>
      <c r="F49" s="9">
        <v>9.4158604961113196E-2</v>
      </c>
      <c r="G49" s="9"/>
      <c r="H49" s="9"/>
      <c r="I49" s="9"/>
      <c r="J49" s="9"/>
      <c r="K49" s="10"/>
    </row>
    <row r="50" spans="1:11" x14ac:dyDescent="0.2">
      <c r="A50" s="11">
        <v>2</v>
      </c>
      <c r="B50" s="3">
        <v>50</v>
      </c>
      <c r="C50" s="3">
        <v>5</v>
      </c>
      <c r="D50" s="3">
        <v>25</v>
      </c>
      <c r="E50" s="3"/>
      <c r="F50" s="3"/>
      <c r="G50" s="3"/>
      <c r="H50" s="3"/>
      <c r="I50" s="3"/>
      <c r="J50" s="3">
        <f>AVERAGE(E50:E57)</f>
        <v>17.856664576279851</v>
      </c>
      <c r="K50" s="12">
        <f t="shared" ref="K50" si="2">AVERAGE(F50:F57)</f>
        <v>0.33870418923355688</v>
      </c>
    </row>
    <row r="51" spans="1:11" x14ac:dyDescent="0.2">
      <c r="A51" s="5">
        <v>2</v>
      </c>
      <c r="B51" s="6">
        <v>50</v>
      </c>
      <c r="C51" s="6">
        <v>5</v>
      </c>
      <c r="D51" s="6">
        <v>25</v>
      </c>
      <c r="E51" s="6">
        <v>14.825581395348838</v>
      </c>
      <c r="F51" s="6">
        <v>0.34093540946336764</v>
      </c>
      <c r="G51" s="6"/>
      <c r="H51" s="6"/>
      <c r="I51" s="6"/>
      <c r="J51" s="6"/>
      <c r="K51" s="7"/>
    </row>
    <row r="52" spans="1:11" x14ac:dyDescent="0.2">
      <c r="A52" s="5">
        <v>2</v>
      </c>
      <c r="B52" s="6">
        <v>50</v>
      </c>
      <c r="C52" s="6">
        <v>5</v>
      </c>
      <c r="D52" s="6">
        <v>25</v>
      </c>
      <c r="E52" s="6">
        <v>32.757307953772937</v>
      </c>
      <c r="F52" s="6">
        <v>0.74589042483514278</v>
      </c>
      <c r="G52" s="6">
        <v>0.74589042483514278</v>
      </c>
      <c r="H52" s="6"/>
      <c r="I52" s="6"/>
      <c r="J52" s="6"/>
      <c r="K52" s="7"/>
    </row>
    <row r="53" spans="1:11" x14ac:dyDescent="0.2">
      <c r="A53" s="5">
        <v>2</v>
      </c>
      <c r="B53" s="6">
        <v>50</v>
      </c>
      <c r="C53" s="6">
        <v>5</v>
      </c>
      <c r="D53" s="6">
        <v>25</v>
      </c>
      <c r="E53" s="6"/>
      <c r="F53" s="6"/>
      <c r="G53" s="6"/>
      <c r="H53" s="6"/>
      <c r="I53" s="6"/>
      <c r="J53" s="6"/>
      <c r="K53" s="7"/>
    </row>
    <row r="54" spans="1:11" x14ac:dyDescent="0.2">
      <c r="A54" s="5">
        <v>2</v>
      </c>
      <c r="B54" s="6">
        <v>50</v>
      </c>
      <c r="C54" s="6">
        <v>5</v>
      </c>
      <c r="D54" s="6">
        <v>25</v>
      </c>
      <c r="E54" s="6">
        <v>11.736637168141593</v>
      </c>
      <c r="F54" s="6">
        <v>0.30746057944027105</v>
      </c>
      <c r="G54" s="6">
        <v>0.33887471383503132</v>
      </c>
      <c r="H54" s="6">
        <v>4.4426294911281083E-2</v>
      </c>
      <c r="I54" s="6"/>
      <c r="J54" s="6"/>
      <c r="K54" s="7"/>
    </row>
    <row r="55" spans="1:11" x14ac:dyDescent="0.2">
      <c r="A55" s="5">
        <v>2</v>
      </c>
      <c r="B55" s="6">
        <v>50</v>
      </c>
      <c r="C55" s="6">
        <v>5</v>
      </c>
      <c r="D55" s="6">
        <v>25</v>
      </c>
      <c r="E55" s="6">
        <v>14.134969325153374</v>
      </c>
      <c r="F55" s="6">
        <v>0.37028884822979158</v>
      </c>
      <c r="G55" s="6"/>
      <c r="H55" s="6"/>
      <c r="I55" s="6"/>
      <c r="J55" s="6"/>
      <c r="K55" s="7"/>
    </row>
    <row r="56" spans="1:11" x14ac:dyDescent="0.2">
      <c r="A56" s="5">
        <v>2</v>
      </c>
      <c r="B56" s="6">
        <v>50</v>
      </c>
      <c r="C56" s="6">
        <v>5</v>
      </c>
      <c r="D56" s="6">
        <v>25</v>
      </c>
      <c r="E56" s="6">
        <v>18.529049897470951</v>
      </c>
      <c r="F56" s="6">
        <v>0.14722355596082681</v>
      </c>
      <c r="G56" s="6">
        <v>0.13382493671638393</v>
      </c>
      <c r="H56" s="6">
        <v>1.8948509052564278E-2</v>
      </c>
      <c r="I56" s="6"/>
      <c r="J56" s="6"/>
      <c r="K56" s="7"/>
    </row>
    <row r="57" spans="1:11" x14ac:dyDescent="0.2">
      <c r="A57" s="8">
        <v>2</v>
      </c>
      <c r="B57" s="9">
        <v>50</v>
      </c>
      <c r="C57" s="9">
        <v>5</v>
      </c>
      <c r="D57" s="9">
        <v>25</v>
      </c>
      <c r="E57" s="9">
        <v>15.156441717791409</v>
      </c>
      <c r="F57" s="9">
        <v>0.12042631747194105</v>
      </c>
      <c r="G57" s="9"/>
      <c r="H57" s="9"/>
      <c r="I57" s="9"/>
      <c r="J57" s="9"/>
      <c r="K57" s="10"/>
    </row>
    <row r="58" spans="1:11" x14ac:dyDescent="0.2">
      <c r="A58" s="11">
        <v>2</v>
      </c>
      <c r="B58" s="3">
        <v>50</v>
      </c>
      <c r="C58" s="3">
        <v>5</v>
      </c>
      <c r="D58" s="3">
        <v>100</v>
      </c>
      <c r="E58" s="3"/>
      <c r="F58" s="3"/>
      <c r="G58" s="3"/>
      <c r="H58" s="3"/>
      <c r="I58" s="3"/>
      <c r="J58" s="3">
        <f>AVERAGE(E58:E65)</f>
        <v>17.210838727340843</v>
      </c>
      <c r="K58" s="12">
        <f t="shared" ref="K58" si="3">AVERAGE(F58:F65)</f>
        <v>0.31290323959016381</v>
      </c>
    </row>
    <row r="59" spans="1:11" x14ac:dyDescent="0.2">
      <c r="A59" s="5">
        <v>2</v>
      </c>
      <c r="B59" s="6">
        <v>50</v>
      </c>
      <c r="C59" s="6">
        <v>5</v>
      </c>
      <c r="D59" s="6">
        <v>100</v>
      </c>
      <c r="E59" s="6">
        <v>14.114361702127662</v>
      </c>
      <c r="F59" s="6">
        <v>0.32457989726720887</v>
      </c>
      <c r="G59" s="6"/>
      <c r="H59" s="6"/>
      <c r="I59" s="6"/>
      <c r="J59" s="6"/>
      <c r="K59" s="7"/>
    </row>
    <row r="60" spans="1:11" x14ac:dyDescent="0.2">
      <c r="A60" s="5">
        <v>2</v>
      </c>
      <c r="B60" s="6">
        <v>50</v>
      </c>
      <c r="C60" s="6">
        <v>5</v>
      </c>
      <c r="D60" s="6">
        <v>100</v>
      </c>
      <c r="E60" s="6">
        <v>28.022485207100594</v>
      </c>
      <c r="F60" s="6">
        <v>0.63807756808212746</v>
      </c>
      <c r="G60" s="6">
        <v>0.63807756808212746</v>
      </c>
      <c r="H60" s="6"/>
      <c r="I60" s="6"/>
      <c r="J60" s="6"/>
      <c r="K60" s="7"/>
    </row>
    <row r="61" spans="1:11" x14ac:dyDescent="0.2">
      <c r="A61" s="5">
        <v>2</v>
      </c>
      <c r="B61" s="6">
        <v>50</v>
      </c>
      <c r="C61" s="6">
        <v>5</v>
      </c>
      <c r="D61" s="6">
        <v>100</v>
      </c>
      <c r="E61" s="6"/>
      <c r="F61" s="6"/>
      <c r="G61" s="6"/>
      <c r="H61" s="6"/>
      <c r="I61" s="6"/>
      <c r="J61" s="6"/>
      <c r="K61" s="7"/>
    </row>
    <row r="62" spans="1:11" x14ac:dyDescent="0.2">
      <c r="A62" s="5">
        <v>2</v>
      </c>
      <c r="B62" s="6">
        <v>50</v>
      </c>
      <c r="C62" s="6">
        <v>5</v>
      </c>
      <c r="D62" s="6">
        <v>100</v>
      </c>
      <c r="E62" s="6">
        <v>11.187048098082364</v>
      </c>
      <c r="F62" s="6">
        <v>0.29306318677032228</v>
      </c>
      <c r="G62" s="6">
        <v>0.30792829082018852</v>
      </c>
      <c r="H62" s="6">
        <v>2.1022431753408059E-2</v>
      </c>
      <c r="I62" s="6"/>
      <c r="J62" s="6"/>
      <c r="K62" s="7"/>
    </row>
    <row r="63" spans="1:11" x14ac:dyDescent="0.2">
      <c r="A63" s="5">
        <v>2</v>
      </c>
      <c r="B63" s="6">
        <v>50</v>
      </c>
      <c r="C63" s="6">
        <v>5</v>
      </c>
      <c r="D63" s="6">
        <v>100</v>
      </c>
      <c r="E63" s="6">
        <v>12.321933962264151</v>
      </c>
      <c r="F63" s="6">
        <v>0.32279339487005476</v>
      </c>
      <c r="G63" s="6"/>
      <c r="H63" s="6"/>
      <c r="I63" s="6"/>
      <c r="J63" s="6"/>
      <c r="K63" s="7"/>
    </row>
    <row r="64" spans="1:11" x14ac:dyDescent="0.2">
      <c r="A64" s="5">
        <v>2</v>
      </c>
      <c r="B64" s="6">
        <v>50</v>
      </c>
      <c r="C64" s="6">
        <v>5</v>
      </c>
      <c r="D64" s="6">
        <v>100</v>
      </c>
      <c r="E64" s="6">
        <v>15.980769230769232</v>
      </c>
      <c r="F64" s="6">
        <v>0.12697605576982884</v>
      </c>
      <c r="G64" s="6">
        <v>0.14945269527563498</v>
      </c>
      <c r="H64" s="6">
        <v>3.1786768425681802E-2</v>
      </c>
      <c r="I64" s="6"/>
      <c r="J64" s="6"/>
      <c r="K64" s="7"/>
    </row>
    <row r="65" spans="1:11" x14ac:dyDescent="0.2">
      <c r="A65" s="8">
        <v>2</v>
      </c>
      <c r="B65" s="9">
        <v>50</v>
      </c>
      <c r="C65" s="9">
        <v>5</v>
      </c>
      <c r="D65" s="9">
        <v>100</v>
      </c>
      <c r="E65" s="9">
        <v>21.638434163701064</v>
      </c>
      <c r="F65" s="9">
        <v>0.1719293347814411</v>
      </c>
      <c r="G65" s="9"/>
      <c r="H65" s="9"/>
      <c r="I65" s="9"/>
      <c r="J65" s="9"/>
      <c r="K65" s="10"/>
    </row>
    <row r="66" spans="1:11" x14ac:dyDescent="0.2">
      <c r="A66" s="11">
        <v>2</v>
      </c>
      <c r="B66" s="3">
        <v>50</v>
      </c>
      <c r="C66" s="3">
        <v>5</v>
      </c>
      <c r="D66" s="3">
        <v>200</v>
      </c>
      <c r="E66" s="3"/>
      <c r="F66" s="3"/>
      <c r="G66" s="3"/>
      <c r="H66" s="3"/>
      <c r="I66" s="3"/>
      <c r="J66" s="3">
        <f>AVERAGE(E66:E73)</f>
        <v>16.744988687565769</v>
      </c>
      <c r="K66" s="12">
        <f t="shared" ref="K66" si="4">AVERAGE(F66:F73)</f>
        <v>0.29615645133034124</v>
      </c>
    </row>
    <row r="67" spans="1:11" x14ac:dyDescent="0.2">
      <c r="A67" s="5">
        <v>2</v>
      </c>
      <c r="B67" s="6">
        <v>50</v>
      </c>
      <c r="C67" s="6">
        <v>5</v>
      </c>
      <c r="D67" s="6">
        <v>200</v>
      </c>
      <c r="E67" s="6">
        <v>8.6226175349428225</v>
      </c>
      <c r="F67" s="6">
        <v>0.19828940002609416</v>
      </c>
      <c r="G67" s="6"/>
      <c r="H67" s="6"/>
      <c r="I67" s="6"/>
      <c r="J67" s="6"/>
      <c r="K67" s="7"/>
    </row>
    <row r="68" spans="1:11" x14ac:dyDescent="0.2">
      <c r="A68" s="5">
        <v>2</v>
      </c>
      <c r="B68" s="6">
        <v>50</v>
      </c>
      <c r="C68" s="6">
        <v>5</v>
      </c>
      <c r="D68" s="6">
        <v>200</v>
      </c>
      <c r="E68" s="6">
        <v>26.705607476635517</v>
      </c>
      <c r="F68" s="6">
        <v>0.60809199993902241</v>
      </c>
      <c r="G68" s="6">
        <v>0.60809199993902241</v>
      </c>
      <c r="H68" s="6"/>
      <c r="I68" s="6"/>
      <c r="J68" s="6"/>
      <c r="K68" s="7"/>
    </row>
    <row r="69" spans="1:11" x14ac:dyDescent="0.2">
      <c r="A69" s="5">
        <v>2</v>
      </c>
      <c r="B69" s="6">
        <v>50</v>
      </c>
      <c r="C69" s="6">
        <v>5</v>
      </c>
      <c r="D69" s="6">
        <v>200</v>
      </c>
      <c r="E69" s="6"/>
      <c r="F69" s="6"/>
      <c r="G69" s="6"/>
      <c r="H69" s="6"/>
      <c r="I69" s="6"/>
      <c r="J69" s="6"/>
      <c r="K69" s="7"/>
    </row>
    <row r="70" spans="1:11" x14ac:dyDescent="0.2">
      <c r="A70" s="5">
        <v>2</v>
      </c>
      <c r="B70" s="6">
        <v>50</v>
      </c>
      <c r="C70" s="6">
        <v>5</v>
      </c>
      <c r="D70" s="6">
        <v>200</v>
      </c>
      <c r="E70" s="6">
        <v>11.710982658959537</v>
      </c>
      <c r="F70" s="6">
        <v>0.30678851723494177</v>
      </c>
      <c r="G70" s="6">
        <v>0.32508476299903499</v>
      </c>
      <c r="H70" s="6">
        <v>2.5874798900091926E-2</v>
      </c>
      <c r="I70" s="6"/>
      <c r="J70" s="6"/>
      <c r="K70" s="7"/>
    </row>
    <row r="71" spans="1:11" x14ac:dyDescent="0.2">
      <c r="A71" s="5">
        <v>2</v>
      </c>
      <c r="B71" s="6">
        <v>50</v>
      </c>
      <c r="C71" s="6">
        <v>5</v>
      </c>
      <c r="D71" s="6">
        <v>200</v>
      </c>
      <c r="E71" s="6">
        <v>13.107821229050279</v>
      </c>
      <c r="F71" s="6">
        <v>0.34338100876312821</v>
      </c>
      <c r="G71" s="6"/>
      <c r="H71" s="6"/>
      <c r="I71" s="6"/>
      <c r="J71" s="6"/>
      <c r="K71" s="7"/>
    </row>
    <row r="72" spans="1:11" x14ac:dyDescent="0.2">
      <c r="A72" s="5">
        <v>2</v>
      </c>
      <c r="B72" s="6">
        <v>50</v>
      </c>
      <c r="C72" s="6">
        <v>5</v>
      </c>
      <c r="D72" s="6">
        <v>200</v>
      </c>
      <c r="E72" s="6">
        <v>17.012903225806451</v>
      </c>
      <c r="F72" s="6">
        <v>0.13517693157394517</v>
      </c>
      <c r="G72" s="6">
        <v>0.16019389100943043</v>
      </c>
      <c r="H72" s="6">
        <v>3.53793233230007E-2</v>
      </c>
      <c r="I72" s="6"/>
      <c r="J72" s="6"/>
      <c r="K72" s="7"/>
    </row>
    <row r="73" spans="1:11" x14ac:dyDescent="0.2">
      <c r="A73" s="8">
        <v>2</v>
      </c>
      <c r="B73" s="9">
        <v>50</v>
      </c>
      <c r="C73" s="9">
        <v>5</v>
      </c>
      <c r="D73" s="9">
        <v>200</v>
      </c>
      <c r="E73" s="9">
        <v>23.31</v>
      </c>
      <c r="F73" s="9">
        <v>0.18521085044491567</v>
      </c>
      <c r="G73" s="9"/>
      <c r="H73" s="9"/>
      <c r="I73" s="9"/>
      <c r="J73" s="9"/>
      <c r="K73" s="10"/>
    </row>
    <row r="74" spans="1:11" x14ac:dyDescent="0.2">
      <c r="A74" s="11">
        <v>2</v>
      </c>
      <c r="B74" s="3">
        <v>50</v>
      </c>
      <c r="C74" s="3">
        <v>20</v>
      </c>
      <c r="D74" s="3">
        <v>25</v>
      </c>
      <c r="E74" s="3">
        <v>19.200606366851947</v>
      </c>
      <c r="F74" s="3">
        <v>0.46642718518557363</v>
      </c>
      <c r="G74" s="3">
        <v>0.56527415125693758</v>
      </c>
      <c r="H74" s="3">
        <v>0.13979072001755632</v>
      </c>
      <c r="I74" s="3"/>
      <c r="J74" s="3">
        <f>AVERAGE(E74:E81)</f>
        <v>18.166175537522033</v>
      </c>
      <c r="K74" s="12">
        <f t="shared" ref="K74" si="5">AVERAGE(F74:F81)</f>
        <v>0.27345683825859257</v>
      </c>
    </row>
    <row r="75" spans="1:11" x14ac:dyDescent="0.2">
      <c r="A75" s="5">
        <v>2</v>
      </c>
      <c r="B75" s="6">
        <v>50</v>
      </c>
      <c r="C75" s="6">
        <v>20</v>
      </c>
      <c r="D75" s="6">
        <v>25</v>
      </c>
      <c r="E75" s="6">
        <v>27.338732729871371</v>
      </c>
      <c r="F75" s="6">
        <v>0.66412111732830159</v>
      </c>
      <c r="G75" s="6"/>
      <c r="H75" s="6"/>
      <c r="I75" s="6"/>
      <c r="J75" s="6"/>
      <c r="K75" s="7"/>
    </row>
    <row r="76" spans="1:11" x14ac:dyDescent="0.2">
      <c r="A76" s="5">
        <v>2</v>
      </c>
      <c r="B76" s="6">
        <v>50</v>
      </c>
      <c r="C76" s="6">
        <v>20</v>
      </c>
      <c r="D76" s="6">
        <v>25</v>
      </c>
      <c r="E76" s="6">
        <v>7.1867321867321863</v>
      </c>
      <c r="F76" s="6">
        <v>0.15434823368556649</v>
      </c>
      <c r="G76" s="6">
        <v>0.250423853828249</v>
      </c>
      <c r="H76" s="6">
        <v>0.13587144501918735</v>
      </c>
      <c r="I76" s="6"/>
      <c r="J76" s="6"/>
      <c r="K76" s="7"/>
    </row>
    <row r="77" spans="1:11" x14ac:dyDescent="0.2">
      <c r="A77" s="5">
        <v>2</v>
      </c>
      <c r="B77" s="6">
        <v>50</v>
      </c>
      <c r="C77" s="6">
        <v>20</v>
      </c>
      <c r="D77" s="6">
        <v>25</v>
      </c>
      <c r="E77" s="6">
        <v>16.133640552995391</v>
      </c>
      <c r="F77" s="6">
        <v>0.3464994739709315</v>
      </c>
      <c r="G77" s="6"/>
      <c r="H77" s="6"/>
      <c r="I77" s="6"/>
      <c r="J77" s="6"/>
      <c r="K77" s="7"/>
    </row>
    <row r="78" spans="1:11" x14ac:dyDescent="0.2">
      <c r="A78" s="5">
        <v>2</v>
      </c>
      <c r="B78" s="6">
        <v>50</v>
      </c>
      <c r="C78" s="6">
        <v>20</v>
      </c>
      <c r="D78" s="6">
        <v>25</v>
      </c>
      <c r="E78" s="6">
        <v>10.970976253298154</v>
      </c>
      <c r="F78" s="6">
        <v>7.9456656341477652E-2</v>
      </c>
      <c r="G78" s="6">
        <v>7.7777644041916782E-2</v>
      </c>
      <c r="H78" s="6">
        <v>2.3744819654302296E-3</v>
      </c>
      <c r="I78" s="6"/>
      <c r="J78" s="6"/>
      <c r="K78" s="7"/>
    </row>
    <row r="79" spans="1:11" x14ac:dyDescent="0.2">
      <c r="A79" s="5">
        <v>2</v>
      </c>
      <c r="B79" s="6">
        <v>50</v>
      </c>
      <c r="C79" s="6">
        <v>20</v>
      </c>
      <c r="D79" s="6">
        <v>25</v>
      </c>
      <c r="E79" s="6">
        <v>10.507317073170732</v>
      </c>
      <c r="F79" s="6">
        <v>7.6098631742355899E-2</v>
      </c>
      <c r="G79" s="6"/>
      <c r="H79" s="6"/>
      <c r="I79" s="6"/>
      <c r="J79" s="6"/>
      <c r="K79" s="7"/>
    </row>
    <row r="80" spans="1:11" x14ac:dyDescent="0.2">
      <c r="A80" s="5">
        <v>2</v>
      </c>
      <c r="B80" s="6">
        <v>50</v>
      </c>
      <c r="C80" s="6">
        <v>20</v>
      </c>
      <c r="D80" s="6">
        <v>25</v>
      </c>
      <c r="E80" s="6">
        <v>28.452397029034433</v>
      </c>
      <c r="F80" s="6">
        <v>0.21116275244215779</v>
      </c>
      <c r="G80" s="6">
        <v>0.20035170390726709</v>
      </c>
      <c r="H80" s="6">
        <v>1.5289131461516213E-2</v>
      </c>
      <c r="I80" s="6"/>
      <c r="J80" s="6"/>
      <c r="K80" s="7"/>
    </row>
    <row r="81" spans="1:11" x14ac:dyDescent="0.2">
      <c r="A81" s="8">
        <v>2</v>
      </c>
      <c r="B81" s="9">
        <v>50</v>
      </c>
      <c r="C81" s="9">
        <v>20</v>
      </c>
      <c r="D81" s="9">
        <v>25</v>
      </c>
      <c r="E81" s="9">
        <v>25.539002108222061</v>
      </c>
      <c r="F81" s="9">
        <v>0.18954065537237638</v>
      </c>
      <c r="G81" s="9"/>
      <c r="H81" s="9"/>
      <c r="I81" s="9"/>
      <c r="J81" s="9"/>
      <c r="K81" s="10"/>
    </row>
    <row r="82" spans="1:11" x14ac:dyDescent="0.2">
      <c r="A82" s="11">
        <v>2</v>
      </c>
      <c r="B82" s="3">
        <v>50</v>
      </c>
      <c r="C82" s="3">
        <v>20</v>
      </c>
      <c r="D82" s="3">
        <v>100</v>
      </c>
      <c r="E82" s="3">
        <v>22.97058823529412</v>
      </c>
      <c r="F82" s="3">
        <v>0.55800877367821011</v>
      </c>
      <c r="G82" s="3">
        <v>0.83303964969547217</v>
      </c>
      <c r="H82" s="3">
        <v>0.38895239493496508</v>
      </c>
      <c r="I82" s="3"/>
      <c r="J82" s="3">
        <f>AVERAGE(E82:E89)</f>
        <v>20.443455056903606</v>
      </c>
      <c r="K82" s="12">
        <f t="shared" ref="K82" si="6">AVERAGE(F82:F89)</f>
        <v>0.34376233170006004</v>
      </c>
    </row>
    <row r="83" spans="1:11" x14ac:dyDescent="0.2">
      <c r="A83" s="5">
        <v>2</v>
      </c>
      <c r="B83" s="6">
        <v>50</v>
      </c>
      <c r="C83" s="6">
        <v>20</v>
      </c>
      <c r="D83" s="6">
        <v>100</v>
      </c>
      <c r="E83" s="6">
        <v>45.614035087719309</v>
      </c>
      <c r="F83" s="6">
        <v>1.1080705257127341</v>
      </c>
      <c r="G83" s="6"/>
      <c r="H83" s="6"/>
      <c r="I83" s="6"/>
      <c r="J83" s="6"/>
      <c r="K83" s="7"/>
    </row>
    <row r="84" spans="1:11" x14ac:dyDescent="0.2">
      <c r="A84" s="5">
        <v>2</v>
      </c>
      <c r="B84" s="6">
        <v>50</v>
      </c>
      <c r="C84" s="6">
        <v>20</v>
      </c>
      <c r="D84" s="6">
        <v>100</v>
      </c>
      <c r="E84" s="6">
        <v>14.382475660639777</v>
      </c>
      <c r="F84" s="6">
        <v>0.30889000126423183</v>
      </c>
      <c r="G84" s="6">
        <v>0.29334902145992647</v>
      </c>
      <c r="H84" s="6">
        <v>2.1978264411814961E-2</v>
      </c>
      <c r="I84" s="6"/>
      <c r="J84" s="6"/>
      <c r="K84" s="7"/>
    </row>
    <row r="85" spans="1:11" x14ac:dyDescent="0.2">
      <c r="A85" s="5">
        <v>2</v>
      </c>
      <c r="B85" s="6">
        <v>50</v>
      </c>
      <c r="C85" s="6">
        <v>20</v>
      </c>
      <c r="D85" s="6">
        <v>100</v>
      </c>
      <c r="E85" s="6">
        <v>12.935243553008599</v>
      </c>
      <c r="F85" s="6">
        <v>0.27780804165562117</v>
      </c>
      <c r="G85" s="6"/>
      <c r="H85" s="6"/>
      <c r="I85" s="6"/>
      <c r="J85" s="6"/>
      <c r="K85" s="7"/>
    </row>
    <row r="86" spans="1:11" x14ac:dyDescent="0.2">
      <c r="A86" s="5">
        <v>2</v>
      </c>
      <c r="B86" s="6">
        <v>50</v>
      </c>
      <c r="C86" s="6">
        <v>20</v>
      </c>
      <c r="D86" s="6">
        <v>100</v>
      </c>
      <c r="E86" s="6">
        <v>15.764258555133081</v>
      </c>
      <c r="F86" s="6">
        <v>0.11417172415416105</v>
      </c>
      <c r="G86" s="6">
        <v>9.5315166651561131E-2</v>
      </c>
      <c r="H86" s="6">
        <v>2.6667199359844903E-2</v>
      </c>
      <c r="I86" s="6"/>
      <c r="J86" s="6"/>
      <c r="K86" s="7"/>
    </row>
    <row r="87" spans="1:11" x14ac:dyDescent="0.2">
      <c r="A87" s="5">
        <v>2</v>
      </c>
      <c r="B87" s="6">
        <v>50</v>
      </c>
      <c r="C87" s="6">
        <v>20</v>
      </c>
      <c r="D87" s="6">
        <v>100</v>
      </c>
      <c r="E87" s="6">
        <v>10.557020946470132</v>
      </c>
      <c r="F87" s="6">
        <v>7.6458609148961215E-2</v>
      </c>
      <c r="G87" s="6"/>
      <c r="H87" s="6"/>
      <c r="I87" s="6"/>
      <c r="J87" s="6"/>
      <c r="K87" s="7"/>
    </row>
    <row r="88" spans="1:11" x14ac:dyDescent="0.2">
      <c r="A88" s="5">
        <v>2</v>
      </c>
      <c r="B88" s="6">
        <v>50</v>
      </c>
      <c r="C88" s="6">
        <v>20</v>
      </c>
      <c r="D88" s="6">
        <v>100</v>
      </c>
      <c r="E88" s="6">
        <v>22.52604501607717</v>
      </c>
      <c r="F88" s="6">
        <v>0.1671796461428835</v>
      </c>
      <c r="G88" s="6">
        <v>0.1533454889932806</v>
      </c>
      <c r="H88" s="6">
        <v>1.9564452664969138E-2</v>
      </c>
      <c r="I88" s="6"/>
      <c r="J88" s="6"/>
      <c r="K88" s="7"/>
    </row>
    <row r="89" spans="1:11" x14ac:dyDescent="0.2">
      <c r="A89" s="8">
        <v>2</v>
      </c>
      <c r="B89" s="9">
        <v>50</v>
      </c>
      <c r="C89" s="9">
        <v>20</v>
      </c>
      <c r="D89" s="9">
        <v>100</v>
      </c>
      <c r="E89" s="9">
        <v>18.797973400886637</v>
      </c>
      <c r="F89" s="9">
        <v>0.1395113318436777</v>
      </c>
      <c r="G89" s="9"/>
      <c r="H89" s="9"/>
      <c r="I89" s="9"/>
      <c r="J89" s="9"/>
      <c r="K89" s="10"/>
    </row>
    <row r="90" spans="1:11" x14ac:dyDescent="0.2">
      <c r="A90" s="11">
        <v>2</v>
      </c>
      <c r="B90" s="3">
        <v>50</v>
      </c>
      <c r="C90" s="3">
        <v>20</v>
      </c>
      <c r="D90" s="3">
        <v>200</v>
      </c>
      <c r="E90" s="3">
        <v>19.762237762237763</v>
      </c>
      <c r="F90" s="3">
        <v>0.48007051216476226</v>
      </c>
      <c r="G90" s="3">
        <v>0.6685300526161233</v>
      </c>
      <c r="H90" s="3">
        <v>0.26652203806491587</v>
      </c>
      <c r="I90" s="3"/>
      <c r="J90" s="3">
        <f>AVERAGE(E90:E97)</f>
        <v>25.074941959404924</v>
      </c>
      <c r="K90" s="12">
        <f t="shared" ref="K90" si="7">AVERAGE(F90:F97)</f>
        <v>0.33761914517087394</v>
      </c>
    </row>
    <row r="91" spans="1:11" x14ac:dyDescent="0.2">
      <c r="A91" s="5">
        <v>2</v>
      </c>
      <c r="B91" s="6">
        <v>50</v>
      </c>
      <c r="C91" s="6">
        <v>20</v>
      </c>
      <c r="D91" s="6">
        <v>200</v>
      </c>
      <c r="E91" s="6">
        <v>35.278217821782178</v>
      </c>
      <c r="F91" s="6">
        <v>0.85698959306748435</v>
      </c>
      <c r="G91" s="6"/>
      <c r="H91" s="6"/>
      <c r="I91" s="6"/>
      <c r="J91" s="6"/>
      <c r="K91" s="7"/>
    </row>
    <row r="92" spans="1:11" x14ac:dyDescent="0.2">
      <c r="A92" s="5">
        <v>2</v>
      </c>
      <c r="B92" s="6">
        <v>50</v>
      </c>
      <c r="C92" s="6">
        <v>20</v>
      </c>
      <c r="D92" s="6">
        <v>200</v>
      </c>
      <c r="E92" s="6">
        <v>13.779236276849643</v>
      </c>
      <c r="F92" s="6">
        <v>0.29593433087630922</v>
      </c>
      <c r="G92" s="6">
        <v>0.22714276022340835</v>
      </c>
      <c r="H92" s="6">
        <v>9.7285972194279341E-2</v>
      </c>
      <c r="I92" s="6"/>
      <c r="J92" s="6"/>
      <c r="K92" s="7"/>
    </row>
    <row r="93" spans="1:11" x14ac:dyDescent="0.2">
      <c r="A93" s="5">
        <v>2</v>
      </c>
      <c r="B93" s="6">
        <v>50</v>
      </c>
      <c r="C93" s="6">
        <v>20</v>
      </c>
      <c r="D93" s="6">
        <v>200</v>
      </c>
      <c r="E93" s="6">
        <v>7.3731170336037088</v>
      </c>
      <c r="F93" s="6">
        <v>0.15835118957050748</v>
      </c>
      <c r="G93" s="6"/>
      <c r="H93" s="6"/>
      <c r="I93" s="6"/>
      <c r="J93" s="6"/>
      <c r="K93" s="7"/>
    </row>
    <row r="94" spans="1:11" x14ac:dyDescent="0.2">
      <c r="A94" s="5">
        <v>2</v>
      </c>
      <c r="B94" s="6">
        <v>50</v>
      </c>
      <c r="C94" s="6">
        <v>20</v>
      </c>
      <c r="D94" s="6">
        <v>200</v>
      </c>
      <c r="E94" s="6">
        <v>60.354755784061695</v>
      </c>
      <c r="F94" s="6">
        <v>0.43711580247622223</v>
      </c>
      <c r="G94" s="6">
        <v>0.27671146897660426</v>
      </c>
      <c r="H94" s="6">
        <v>0.22684598389857674</v>
      </c>
      <c r="I94" s="6"/>
      <c r="J94" s="6"/>
      <c r="K94" s="7"/>
    </row>
    <row r="95" spans="1:11" x14ac:dyDescent="0.2">
      <c r="A95" s="5">
        <v>2</v>
      </c>
      <c r="B95" s="6">
        <v>50</v>
      </c>
      <c r="C95" s="6">
        <v>20</v>
      </c>
      <c r="D95" s="6">
        <v>200</v>
      </c>
      <c r="E95" s="6">
        <v>16.059105431309902</v>
      </c>
      <c r="F95" s="6">
        <v>0.11630713547698632</v>
      </c>
      <c r="G95" s="6"/>
      <c r="H95" s="6"/>
      <c r="I95" s="6"/>
      <c r="J95" s="6"/>
      <c r="K95" s="7"/>
    </row>
    <row r="96" spans="1:11" x14ac:dyDescent="0.2">
      <c r="A96" s="5">
        <v>2</v>
      </c>
      <c r="B96" s="6">
        <v>50</v>
      </c>
      <c r="C96" s="6">
        <v>20</v>
      </c>
      <c r="D96" s="6">
        <v>200</v>
      </c>
      <c r="E96" s="6">
        <v>24.685006877579092</v>
      </c>
      <c r="F96" s="6">
        <v>0.1832026310825064</v>
      </c>
      <c r="G96" s="6">
        <v>0.17809229886735983</v>
      </c>
      <c r="H96" s="6">
        <v>7.2271011268924303E-3</v>
      </c>
      <c r="I96" s="6"/>
      <c r="J96" s="6"/>
      <c r="K96" s="7"/>
    </row>
    <row r="97" spans="1:11" x14ac:dyDescent="0.2">
      <c r="A97" s="8">
        <v>2</v>
      </c>
      <c r="B97" s="9">
        <v>50</v>
      </c>
      <c r="C97" s="9">
        <v>20</v>
      </c>
      <c r="D97" s="9">
        <v>200</v>
      </c>
      <c r="E97" s="9">
        <v>23.307858687815425</v>
      </c>
      <c r="F97" s="9">
        <v>0.17298196665221324</v>
      </c>
      <c r="G97" s="9"/>
      <c r="H97" s="9"/>
      <c r="I97" s="9"/>
      <c r="J97" s="9"/>
      <c r="K97" s="10"/>
    </row>
    <row r="98" spans="1:11" x14ac:dyDescent="0.2">
      <c r="A98" s="11">
        <v>2</v>
      </c>
      <c r="B98" s="3">
        <v>200</v>
      </c>
      <c r="C98" s="3">
        <v>2</v>
      </c>
      <c r="D98" s="3">
        <v>25</v>
      </c>
      <c r="E98" s="3">
        <v>43.775762395209576</v>
      </c>
      <c r="F98" s="3">
        <v>0.94467461751866788</v>
      </c>
      <c r="G98" s="3">
        <v>0.770739199012483</v>
      </c>
      <c r="H98" s="3">
        <v>0.24598182782848682</v>
      </c>
      <c r="I98" s="3"/>
      <c r="J98" s="3">
        <f>AVERAGE(E98:E105)</f>
        <v>53.248249568413094</v>
      </c>
      <c r="K98" s="12">
        <f t="shared" ref="K98" si="8">AVERAGE(F98:F105)</f>
        <v>0.76973643457700025</v>
      </c>
    </row>
    <row r="99" spans="1:11" x14ac:dyDescent="0.2">
      <c r="A99" s="5">
        <v>2</v>
      </c>
      <c r="B99" s="6">
        <v>200</v>
      </c>
      <c r="C99" s="6">
        <v>2</v>
      </c>
      <c r="D99" s="6">
        <v>25</v>
      </c>
      <c r="E99" s="6">
        <v>27.655596972245579</v>
      </c>
      <c r="F99" s="6">
        <v>0.59680378050629823</v>
      </c>
      <c r="G99" s="6"/>
      <c r="H99" s="6"/>
      <c r="I99" s="6"/>
      <c r="J99" s="6"/>
      <c r="K99" s="7"/>
    </row>
    <row r="100" spans="1:11" x14ac:dyDescent="0.2">
      <c r="A100" s="5">
        <v>2</v>
      </c>
      <c r="B100" s="6">
        <v>200</v>
      </c>
      <c r="C100" s="6">
        <v>2</v>
      </c>
      <c r="D100" s="6">
        <v>25</v>
      </c>
      <c r="E100" s="6">
        <v>39.540983606557383</v>
      </c>
      <c r="F100" s="6">
        <v>1.1117161497141321</v>
      </c>
      <c r="G100" s="6">
        <v>1.1117161497141321</v>
      </c>
      <c r="H100" s="6"/>
      <c r="I100" s="6"/>
      <c r="J100" s="6"/>
      <c r="K100" s="7"/>
    </row>
    <row r="101" spans="1:11" x14ac:dyDescent="0.2">
      <c r="A101" s="5">
        <v>2</v>
      </c>
      <c r="B101" s="6">
        <v>200</v>
      </c>
      <c r="C101" s="6">
        <v>2</v>
      </c>
      <c r="D101" s="6">
        <v>25</v>
      </c>
      <c r="E101" s="6"/>
      <c r="F101" s="6"/>
      <c r="G101" s="6"/>
      <c r="H101" s="6"/>
      <c r="I101" s="6"/>
      <c r="J101" s="6"/>
      <c r="K101" s="7"/>
    </row>
    <row r="102" spans="1:11" x14ac:dyDescent="0.2">
      <c r="A102" s="5">
        <v>2</v>
      </c>
      <c r="B102" s="6">
        <v>200</v>
      </c>
      <c r="C102" s="6">
        <v>2</v>
      </c>
      <c r="D102" s="6">
        <v>25</v>
      </c>
      <c r="E102" s="6">
        <v>86.297372833985463</v>
      </c>
      <c r="F102" s="6">
        <v>0.99149883417463702</v>
      </c>
      <c r="G102" s="6">
        <v>0.99149883417463702</v>
      </c>
      <c r="H102" s="6"/>
      <c r="I102" s="6"/>
      <c r="J102" s="6"/>
      <c r="K102" s="7"/>
    </row>
    <row r="103" spans="1:11" x14ac:dyDescent="0.2">
      <c r="A103" s="5">
        <v>2</v>
      </c>
      <c r="B103" s="6">
        <v>200</v>
      </c>
      <c r="C103" s="6">
        <v>2</v>
      </c>
      <c r="D103" s="6">
        <v>25</v>
      </c>
      <c r="E103" s="6"/>
      <c r="F103" s="6"/>
      <c r="G103" s="6"/>
      <c r="H103" s="6"/>
      <c r="I103" s="6"/>
      <c r="J103" s="6"/>
      <c r="K103" s="7"/>
    </row>
    <row r="104" spans="1:11" x14ac:dyDescent="0.2">
      <c r="A104" s="5">
        <v>2</v>
      </c>
      <c r="B104" s="6">
        <v>200</v>
      </c>
      <c r="C104" s="6">
        <v>2</v>
      </c>
      <c r="D104" s="6">
        <v>25</v>
      </c>
      <c r="E104" s="6">
        <v>54.467532467532465</v>
      </c>
      <c r="F104" s="6">
        <v>0.4339429316729293</v>
      </c>
      <c r="G104" s="6">
        <v>0.48686261277413312</v>
      </c>
      <c r="H104" s="6">
        <v>7.4839730729781756E-2</v>
      </c>
      <c r="I104" s="6"/>
      <c r="J104" s="6"/>
      <c r="K104" s="7"/>
    </row>
    <row r="105" spans="1:11" x14ac:dyDescent="0.2">
      <c r="A105" s="8">
        <v>2</v>
      </c>
      <c r="B105" s="9">
        <v>200</v>
      </c>
      <c r="C105" s="9">
        <v>2</v>
      </c>
      <c r="D105" s="9">
        <v>25</v>
      </c>
      <c r="E105" s="9">
        <v>67.752249134948102</v>
      </c>
      <c r="F105" s="9">
        <v>0.53978229387533694</v>
      </c>
      <c r="G105" s="9"/>
      <c r="H105" s="9"/>
      <c r="I105" s="9"/>
      <c r="J105" s="9"/>
      <c r="K105" s="10"/>
    </row>
    <row r="106" spans="1:11" x14ac:dyDescent="0.2">
      <c r="A106" s="11">
        <v>2</v>
      </c>
      <c r="B106" s="3">
        <v>200</v>
      </c>
      <c r="C106" s="3">
        <v>2</v>
      </c>
      <c r="D106" s="3">
        <v>100</v>
      </c>
      <c r="E106" s="3">
        <v>39.460593112582785</v>
      </c>
      <c r="F106" s="3">
        <v>0.85155388886541072</v>
      </c>
      <c r="G106" s="3">
        <v>0.68025620426683642</v>
      </c>
      <c r="H106" s="3">
        <v>0.24225150876241275</v>
      </c>
      <c r="I106" s="3"/>
      <c r="J106" s="3">
        <f>AVERAGE(E106:E113)</f>
        <v>40.625514992758333</v>
      </c>
      <c r="K106" s="12">
        <f t="shared" ref="K106" si="9">AVERAGE(F106:F113)</f>
        <v>0.54601560040276198</v>
      </c>
    </row>
    <row r="107" spans="1:11" x14ac:dyDescent="0.2">
      <c r="A107" s="5">
        <v>2</v>
      </c>
      <c r="B107" s="6">
        <v>200</v>
      </c>
      <c r="C107" s="6">
        <v>2</v>
      </c>
      <c r="D107" s="6">
        <v>100</v>
      </c>
      <c r="E107" s="6">
        <v>23.584890302798005</v>
      </c>
      <c r="F107" s="6">
        <v>0.50895851966826211</v>
      </c>
      <c r="G107" s="6"/>
      <c r="H107" s="6"/>
      <c r="I107" s="6"/>
      <c r="J107" s="6"/>
      <c r="K107" s="7"/>
    </row>
    <row r="108" spans="1:11" x14ac:dyDescent="0.2">
      <c r="A108" s="5">
        <v>2</v>
      </c>
      <c r="B108" s="6">
        <v>200</v>
      </c>
      <c r="C108" s="6">
        <v>2</v>
      </c>
      <c r="D108" s="6">
        <v>100</v>
      </c>
      <c r="E108" s="6">
        <v>14.095774647887325</v>
      </c>
      <c r="F108" s="6">
        <v>0.39631033144528588</v>
      </c>
      <c r="G108" s="6">
        <v>0.39631033144528588</v>
      </c>
      <c r="H108" s="6"/>
      <c r="I108" s="6"/>
      <c r="J108" s="6"/>
      <c r="K108" s="7"/>
    </row>
    <row r="109" spans="1:11" x14ac:dyDescent="0.2">
      <c r="A109" s="5">
        <v>2</v>
      </c>
      <c r="B109" s="6">
        <v>200</v>
      </c>
      <c r="C109" s="6">
        <v>2</v>
      </c>
      <c r="D109" s="6">
        <v>100</v>
      </c>
      <c r="E109" s="6"/>
      <c r="F109" s="6"/>
      <c r="G109" s="6"/>
      <c r="H109" s="6"/>
      <c r="I109" s="6"/>
      <c r="J109" s="6"/>
      <c r="K109" s="7"/>
    </row>
    <row r="110" spans="1:11" x14ac:dyDescent="0.2">
      <c r="A110" s="5">
        <v>2</v>
      </c>
      <c r="B110" s="6">
        <v>200</v>
      </c>
      <c r="C110" s="6">
        <v>2</v>
      </c>
      <c r="D110" s="6">
        <v>100</v>
      </c>
      <c r="E110" s="6">
        <v>54.473684210526315</v>
      </c>
      <c r="F110" s="6">
        <v>0.62586603293053933</v>
      </c>
      <c r="G110" s="6">
        <v>0.62586603293053933</v>
      </c>
      <c r="H110" s="6"/>
      <c r="I110" s="6"/>
      <c r="J110" s="6"/>
      <c r="K110" s="7"/>
    </row>
    <row r="111" spans="1:11" x14ac:dyDescent="0.2">
      <c r="A111" s="5">
        <v>2</v>
      </c>
      <c r="B111" s="6">
        <v>200</v>
      </c>
      <c r="C111" s="6">
        <v>2</v>
      </c>
      <c r="D111" s="6">
        <v>100</v>
      </c>
      <c r="E111" s="6"/>
      <c r="F111" s="6"/>
      <c r="G111" s="6"/>
      <c r="H111" s="6"/>
      <c r="I111" s="6"/>
      <c r="J111" s="6"/>
      <c r="K111" s="7"/>
    </row>
    <row r="112" spans="1:11" x14ac:dyDescent="0.2">
      <c r="A112" s="5">
        <v>2</v>
      </c>
      <c r="B112" s="6">
        <v>200</v>
      </c>
      <c r="C112" s="6">
        <v>2</v>
      </c>
      <c r="D112" s="6">
        <v>100</v>
      </c>
      <c r="E112" s="6">
        <v>56.493975903614455</v>
      </c>
      <c r="F112" s="6">
        <v>0.45008761026741051</v>
      </c>
      <c r="G112" s="6">
        <v>0.44670241475353689</v>
      </c>
      <c r="H112" s="6">
        <v>4.7873894070046292E-3</v>
      </c>
      <c r="I112" s="6"/>
      <c r="J112" s="6"/>
      <c r="K112" s="7"/>
    </row>
    <row r="113" spans="1:11" x14ac:dyDescent="0.2">
      <c r="A113" s="8">
        <v>2</v>
      </c>
      <c r="B113" s="9">
        <v>200</v>
      </c>
      <c r="C113" s="9">
        <v>2</v>
      </c>
      <c r="D113" s="9">
        <v>100</v>
      </c>
      <c r="E113" s="9">
        <v>55.644171779141104</v>
      </c>
      <c r="F113" s="9">
        <v>0.44331721923966327</v>
      </c>
      <c r="G113" s="9"/>
      <c r="H113" s="9"/>
      <c r="I113" s="9"/>
      <c r="J113" s="9"/>
      <c r="K113" s="10"/>
    </row>
    <row r="114" spans="1:11" x14ac:dyDescent="0.2">
      <c r="A114" s="11">
        <v>2</v>
      </c>
      <c r="B114" s="3">
        <v>200</v>
      </c>
      <c r="C114" s="3">
        <v>2</v>
      </c>
      <c r="D114" s="3">
        <v>200</v>
      </c>
      <c r="E114" s="3">
        <v>29.861776031656301</v>
      </c>
      <c r="F114" s="3">
        <v>0.6444128053431698</v>
      </c>
      <c r="G114" s="3">
        <v>0.58597507244644076</v>
      </c>
      <c r="H114" s="3">
        <v>8.2643434416890593E-2</v>
      </c>
      <c r="I114" s="3"/>
      <c r="J114" s="3">
        <f>AVERAGE(E114:E121)</f>
        <v>41.231879854231117</v>
      </c>
      <c r="K114" s="12">
        <f t="shared" ref="K114" si="10">AVERAGE(F114:F121)</f>
        <v>0.53360391577387345</v>
      </c>
    </row>
    <row r="115" spans="1:11" x14ac:dyDescent="0.2">
      <c r="A115" s="5">
        <v>2</v>
      </c>
      <c r="B115" s="6">
        <v>200</v>
      </c>
      <c r="C115" s="6">
        <v>2</v>
      </c>
      <c r="D115" s="6">
        <v>200</v>
      </c>
      <c r="E115" s="6">
        <v>24.445823781512605</v>
      </c>
      <c r="F115" s="6">
        <v>0.52753733954971171</v>
      </c>
      <c r="G115" s="6"/>
      <c r="H115" s="6"/>
      <c r="I115" s="6"/>
      <c r="J115" s="6"/>
      <c r="K115" s="7"/>
    </row>
    <row r="116" spans="1:11" x14ac:dyDescent="0.2">
      <c r="A116" s="5">
        <v>2</v>
      </c>
      <c r="B116" s="6">
        <v>200</v>
      </c>
      <c r="C116" s="6">
        <v>2</v>
      </c>
      <c r="D116" s="6">
        <v>200</v>
      </c>
      <c r="E116" s="6">
        <v>12.007682458386684</v>
      </c>
      <c r="F116" s="6">
        <v>0.33760248967134393</v>
      </c>
      <c r="G116" s="6">
        <v>0.33760248967134393</v>
      </c>
      <c r="H116" s="6"/>
      <c r="I116" s="6"/>
      <c r="J116" s="6"/>
      <c r="K116" s="7"/>
    </row>
    <row r="117" spans="1:11" x14ac:dyDescent="0.2">
      <c r="A117" s="5">
        <v>2</v>
      </c>
      <c r="B117" s="6">
        <v>200</v>
      </c>
      <c r="C117" s="6">
        <v>2</v>
      </c>
      <c r="D117" s="6">
        <v>200</v>
      </c>
      <c r="E117" s="6"/>
      <c r="F117" s="6"/>
      <c r="G117" s="6"/>
      <c r="H117" s="6"/>
      <c r="I117" s="6"/>
      <c r="J117" s="6"/>
      <c r="K117" s="7"/>
    </row>
    <row r="118" spans="1:11" x14ac:dyDescent="0.2">
      <c r="A118" s="5">
        <v>2</v>
      </c>
      <c r="B118" s="6">
        <v>200</v>
      </c>
      <c r="C118" s="6">
        <v>2</v>
      </c>
      <c r="D118" s="6">
        <v>200</v>
      </c>
      <c r="E118" s="6">
        <v>70.816283924843418</v>
      </c>
      <c r="F118" s="6">
        <v>0.81363152372131886</v>
      </c>
      <c r="G118" s="6">
        <v>0.81363152372131886</v>
      </c>
      <c r="H118" s="6"/>
      <c r="I118" s="6"/>
      <c r="J118" s="6"/>
      <c r="K118" s="7"/>
    </row>
    <row r="119" spans="1:11" x14ac:dyDescent="0.2">
      <c r="A119" s="5">
        <v>2</v>
      </c>
      <c r="B119" s="6">
        <v>200</v>
      </c>
      <c r="C119" s="6">
        <v>2</v>
      </c>
      <c r="D119" s="6">
        <v>200</v>
      </c>
      <c r="E119" s="6"/>
      <c r="F119" s="6"/>
      <c r="G119" s="6"/>
      <c r="H119" s="6"/>
      <c r="I119" s="6"/>
      <c r="J119" s="6"/>
      <c r="K119" s="7"/>
    </row>
    <row r="120" spans="1:11" x14ac:dyDescent="0.2">
      <c r="A120" s="5">
        <v>2</v>
      </c>
      <c r="B120" s="6">
        <v>200</v>
      </c>
      <c r="C120" s="6">
        <v>2</v>
      </c>
      <c r="D120" s="6">
        <v>200</v>
      </c>
      <c r="E120" s="6">
        <v>51.640243902439018</v>
      </c>
      <c r="F120" s="6">
        <v>0.41141791845788545</v>
      </c>
      <c r="G120" s="6">
        <v>0.43921966817884828</v>
      </c>
      <c r="H120" s="6">
        <v>3.9317611513088012E-2</v>
      </c>
      <c r="I120" s="6"/>
      <c r="J120" s="6"/>
      <c r="K120" s="7"/>
    </row>
    <row r="121" spans="1:11" x14ac:dyDescent="0.2">
      <c r="A121" s="8">
        <v>2</v>
      </c>
      <c r="B121" s="9">
        <v>200</v>
      </c>
      <c r="C121" s="9">
        <v>2</v>
      </c>
      <c r="D121" s="9">
        <v>200</v>
      </c>
      <c r="E121" s="9">
        <v>58.619469026548671</v>
      </c>
      <c r="F121" s="9">
        <v>0.46702141789981105</v>
      </c>
      <c r="G121" s="9"/>
      <c r="H121" s="9"/>
      <c r="I121" s="9"/>
      <c r="J121" s="9"/>
      <c r="K121" s="10"/>
    </row>
    <row r="122" spans="1:11" x14ac:dyDescent="0.2">
      <c r="A122" s="11">
        <v>2</v>
      </c>
      <c r="B122" s="3">
        <v>200</v>
      </c>
      <c r="C122" s="3">
        <v>5</v>
      </c>
      <c r="D122" s="3">
        <v>25</v>
      </c>
      <c r="E122" s="3"/>
      <c r="F122" s="3"/>
      <c r="G122" s="3"/>
      <c r="H122" s="3"/>
      <c r="I122" s="3"/>
      <c r="J122" s="3">
        <f>AVERAGE(E122:E129)</f>
        <v>60.724596966957471</v>
      </c>
      <c r="K122" s="12">
        <f t="shared" ref="K122" si="11">AVERAGE(F122:F129)</f>
        <v>0.97510506311342615</v>
      </c>
    </row>
    <row r="123" spans="1:11" x14ac:dyDescent="0.2">
      <c r="A123" s="5">
        <v>2</v>
      </c>
      <c r="B123" s="6">
        <v>200</v>
      </c>
      <c r="C123" s="6">
        <v>5</v>
      </c>
      <c r="D123" s="6">
        <v>25</v>
      </c>
      <c r="E123" s="6">
        <v>35.004608294930875</v>
      </c>
      <c r="F123" s="6">
        <v>0.80498094097551887</v>
      </c>
      <c r="G123" s="6"/>
      <c r="H123" s="6"/>
      <c r="I123" s="6"/>
      <c r="J123" s="6"/>
      <c r="K123" s="7"/>
    </row>
    <row r="124" spans="1:11" x14ac:dyDescent="0.2">
      <c r="A124" s="5">
        <v>2</v>
      </c>
      <c r="B124" s="6">
        <v>200</v>
      </c>
      <c r="C124" s="6">
        <v>5</v>
      </c>
      <c r="D124" s="6">
        <v>25</v>
      </c>
      <c r="E124" s="6">
        <v>34.059957173447543</v>
      </c>
      <c r="F124" s="6">
        <v>0.77555200695432747</v>
      </c>
      <c r="G124" s="6">
        <v>0.77555200695432747</v>
      </c>
      <c r="H124" s="6"/>
      <c r="I124" s="6"/>
      <c r="J124" s="6"/>
      <c r="K124" s="7"/>
    </row>
    <row r="125" spans="1:11" x14ac:dyDescent="0.2">
      <c r="A125" s="5">
        <v>2</v>
      </c>
      <c r="B125" s="6">
        <v>200</v>
      </c>
      <c r="C125" s="6">
        <v>5</v>
      </c>
      <c r="D125" s="6">
        <v>25</v>
      </c>
      <c r="E125" s="6"/>
      <c r="F125" s="6"/>
      <c r="G125" s="6"/>
      <c r="H125" s="6"/>
      <c r="I125" s="6"/>
      <c r="J125" s="6"/>
      <c r="K125" s="7"/>
    </row>
    <row r="126" spans="1:11" x14ac:dyDescent="0.2">
      <c r="A126" s="5">
        <v>2</v>
      </c>
      <c r="B126" s="6">
        <v>200</v>
      </c>
      <c r="C126" s="6">
        <v>5</v>
      </c>
      <c r="D126" s="6">
        <v>25</v>
      </c>
      <c r="E126" s="6">
        <v>55.89621756799</v>
      </c>
      <c r="F126" s="6">
        <v>1.4642936639997466</v>
      </c>
      <c r="G126" s="6">
        <v>1.3807391844262979</v>
      </c>
      <c r="H126" s="6">
        <v>0.1181638782097968</v>
      </c>
      <c r="I126" s="6"/>
      <c r="J126" s="6"/>
      <c r="K126" s="7"/>
    </row>
    <row r="127" spans="1:11" x14ac:dyDescent="0.2">
      <c r="A127" s="5">
        <v>2</v>
      </c>
      <c r="B127" s="6">
        <v>200</v>
      </c>
      <c r="C127" s="6">
        <v>5</v>
      </c>
      <c r="D127" s="6">
        <v>25</v>
      </c>
      <c r="E127" s="6">
        <v>49.517197452229304</v>
      </c>
      <c r="F127" s="6">
        <v>1.2971847048528493</v>
      </c>
      <c r="G127" s="6"/>
      <c r="H127" s="6"/>
      <c r="I127" s="6"/>
      <c r="J127" s="6"/>
      <c r="K127" s="7"/>
    </row>
    <row r="128" spans="1:11" x14ac:dyDescent="0.2">
      <c r="A128" s="5">
        <v>2</v>
      </c>
      <c r="B128" s="6">
        <v>200</v>
      </c>
      <c r="C128" s="6">
        <v>5</v>
      </c>
      <c r="D128" s="6">
        <v>25</v>
      </c>
      <c r="E128" s="6">
        <v>91.874736101337078</v>
      </c>
      <c r="F128" s="6">
        <v>0.72999562452727751</v>
      </c>
      <c r="G128" s="6">
        <v>0.75430953094905728</v>
      </c>
      <c r="H128" s="6">
        <v>3.4385056215951323E-2</v>
      </c>
      <c r="I128" s="6"/>
      <c r="J128" s="6"/>
      <c r="K128" s="7"/>
    </row>
    <row r="129" spans="1:11" x14ac:dyDescent="0.2">
      <c r="A129" s="8">
        <v>2</v>
      </c>
      <c r="B129" s="9">
        <v>200</v>
      </c>
      <c r="C129" s="9">
        <v>5</v>
      </c>
      <c r="D129" s="9">
        <v>25</v>
      </c>
      <c r="E129" s="9">
        <v>97.994865211810009</v>
      </c>
      <c r="F129" s="9">
        <v>0.77862343737083717</v>
      </c>
      <c r="G129" s="9"/>
      <c r="H129" s="9"/>
      <c r="I129" s="9"/>
      <c r="J129" s="9"/>
      <c r="K129" s="10"/>
    </row>
    <row r="130" spans="1:11" x14ac:dyDescent="0.2">
      <c r="A130" s="11">
        <v>2</v>
      </c>
      <c r="B130" s="3">
        <v>200</v>
      </c>
      <c r="C130" s="3">
        <v>5</v>
      </c>
      <c r="D130" s="3">
        <v>100</v>
      </c>
      <c r="E130" s="3"/>
      <c r="F130" s="3"/>
      <c r="G130" s="3"/>
      <c r="H130" s="3"/>
      <c r="I130" s="3"/>
      <c r="J130" s="3">
        <f>AVERAGE(E130:E137)</f>
        <v>56.322494315947644</v>
      </c>
      <c r="K130" s="12">
        <f t="shared" ref="K130" si="12">AVERAGE(F130:F137)</f>
        <v>0.90705303118531544</v>
      </c>
    </row>
    <row r="131" spans="1:11" x14ac:dyDescent="0.2">
      <c r="A131" s="5">
        <v>2</v>
      </c>
      <c r="B131" s="6">
        <v>200</v>
      </c>
      <c r="C131" s="6">
        <v>5</v>
      </c>
      <c r="D131" s="6">
        <v>100</v>
      </c>
      <c r="E131" s="6">
        <v>33.701026694045176</v>
      </c>
      <c r="F131" s="6">
        <v>0.77500322104567454</v>
      </c>
      <c r="G131" s="6"/>
      <c r="H131" s="6"/>
      <c r="I131" s="6"/>
      <c r="J131" s="6"/>
      <c r="K131" s="7"/>
    </row>
    <row r="132" spans="1:11" x14ac:dyDescent="0.2">
      <c r="A132" s="5">
        <v>2</v>
      </c>
      <c r="B132" s="6">
        <v>200</v>
      </c>
      <c r="C132" s="6">
        <v>5</v>
      </c>
      <c r="D132" s="6">
        <v>100</v>
      </c>
      <c r="E132" s="6">
        <v>31.654485049833891</v>
      </c>
      <c r="F132" s="6">
        <v>0.72077892771523744</v>
      </c>
      <c r="G132" s="6">
        <v>0.72077892771523744</v>
      </c>
      <c r="H132" s="6"/>
      <c r="I132" s="6"/>
      <c r="J132" s="6"/>
      <c r="K132" s="7"/>
    </row>
    <row r="133" spans="1:11" x14ac:dyDescent="0.2">
      <c r="A133" s="5">
        <v>2</v>
      </c>
      <c r="B133" s="6">
        <v>200</v>
      </c>
      <c r="C133" s="6">
        <v>5</v>
      </c>
      <c r="D133" s="6">
        <v>100</v>
      </c>
      <c r="E133" s="6"/>
      <c r="F133" s="6"/>
      <c r="G133" s="6"/>
      <c r="H133" s="6"/>
      <c r="I133" s="6"/>
      <c r="J133" s="6"/>
      <c r="K133" s="7"/>
    </row>
    <row r="134" spans="1:11" x14ac:dyDescent="0.2">
      <c r="A134" s="5">
        <v>2</v>
      </c>
      <c r="B134" s="6">
        <v>200</v>
      </c>
      <c r="C134" s="6">
        <v>5</v>
      </c>
      <c r="D134" s="6">
        <v>100</v>
      </c>
      <c r="E134" s="6">
        <v>55.072847682119203</v>
      </c>
      <c r="F134" s="6">
        <v>1.4427241310426679</v>
      </c>
      <c r="G134" s="6">
        <v>1.2779905952186161</v>
      </c>
      <c r="H134" s="6">
        <v>0.23296840054005022</v>
      </c>
      <c r="I134" s="6"/>
      <c r="J134" s="6"/>
      <c r="K134" s="7"/>
    </row>
    <row r="135" spans="1:11" x14ac:dyDescent="0.2">
      <c r="A135" s="5">
        <v>2</v>
      </c>
      <c r="B135" s="6">
        <v>200</v>
      </c>
      <c r="C135" s="6">
        <v>5</v>
      </c>
      <c r="D135" s="6">
        <v>100</v>
      </c>
      <c r="E135" s="6">
        <v>42.496160661547542</v>
      </c>
      <c r="F135" s="6">
        <v>1.1132570593945645</v>
      </c>
      <c r="G135" s="6"/>
      <c r="H135" s="6"/>
      <c r="I135" s="6"/>
      <c r="J135" s="6"/>
      <c r="K135" s="7"/>
    </row>
    <row r="136" spans="1:11" x14ac:dyDescent="0.2">
      <c r="A136" s="5">
        <v>2</v>
      </c>
      <c r="B136" s="6">
        <v>200</v>
      </c>
      <c r="C136" s="6">
        <v>5</v>
      </c>
      <c r="D136" s="6">
        <v>100</v>
      </c>
      <c r="E136" s="6">
        <v>85.97473152242577</v>
      </c>
      <c r="F136" s="6">
        <v>0.6831168229104152</v>
      </c>
      <c r="G136" s="6">
        <v>0.69527742395687364</v>
      </c>
      <c r="H136" s="6">
        <v>1.719768692650998E-2</v>
      </c>
      <c r="I136" s="6"/>
      <c r="J136" s="6"/>
      <c r="K136" s="7"/>
    </row>
    <row r="137" spans="1:11" x14ac:dyDescent="0.2">
      <c r="A137" s="8">
        <v>2</v>
      </c>
      <c r="B137" s="9">
        <v>200</v>
      </c>
      <c r="C137" s="9">
        <v>5</v>
      </c>
      <c r="D137" s="9">
        <v>100</v>
      </c>
      <c r="E137" s="9">
        <v>89.035714285714278</v>
      </c>
      <c r="F137" s="9">
        <v>0.70743802500333208</v>
      </c>
      <c r="G137" s="9"/>
      <c r="H137" s="9"/>
      <c r="I137" s="9"/>
      <c r="J137" s="9"/>
      <c r="K137" s="10"/>
    </row>
    <row r="138" spans="1:11" x14ac:dyDescent="0.2">
      <c r="A138" s="11">
        <v>2</v>
      </c>
      <c r="B138" s="3">
        <v>200</v>
      </c>
      <c r="C138" s="3">
        <v>5</v>
      </c>
      <c r="D138" s="3">
        <v>200</v>
      </c>
      <c r="E138" s="3"/>
      <c r="F138" s="3"/>
      <c r="G138" s="3"/>
      <c r="H138" s="3"/>
      <c r="I138" s="3"/>
      <c r="J138" s="3">
        <f>AVERAGE(E138:E145)</f>
        <v>52.474074812021662</v>
      </c>
      <c r="K138" s="12">
        <f t="shared" ref="K138" si="13">AVERAGE(F138:F145)</f>
        <v>0.83891330868355729</v>
      </c>
    </row>
    <row r="139" spans="1:11" x14ac:dyDescent="0.2">
      <c r="A139" s="5">
        <v>2</v>
      </c>
      <c r="B139" s="6">
        <v>200</v>
      </c>
      <c r="C139" s="6">
        <v>5</v>
      </c>
      <c r="D139" s="6">
        <v>200</v>
      </c>
      <c r="E139" s="6">
        <v>31.646739130434785</v>
      </c>
      <c r="F139" s="6">
        <v>0.72776194578110109</v>
      </c>
      <c r="G139" s="6"/>
      <c r="H139" s="6"/>
      <c r="I139" s="6"/>
      <c r="J139" s="6"/>
      <c r="K139" s="7"/>
    </row>
    <row r="140" spans="1:11" x14ac:dyDescent="0.2">
      <c r="A140" s="5">
        <v>2</v>
      </c>
      <c r="B140" s="6">
        <v>200</v>
      </c>
      <c r="C140" s="6">
        <v>5</v>
      </c>
      <c r="D140" s="6">
        <v>200</v>
      </c>
      <c r="E140" s="6">
        <v>24.593086719223773</v>
      </c>
      <c r="F140" s="6">
        <v>0.55998948164165374</v>
      </c>
      <c r="G140" s="6">
        <v>0.55998948164165374</v>
      </c>
      <c r="H140" s="6"/>
      <c r="I140" s="6"/>
      <c r="J140" s="6"/>
      <c r="K140" s="7"/>
    </row>
    <row r="141" spans="1:11" x14ac:dyDescent="0.2">
      <c r="A141" s="5">
        <v>2</v>
      </c>
      <c r="B141" s="6">
        <v>200</v>
      </c>
      <c r="C141" s="6">
        <v>5</v>
      </c>
      <c r="D141" s="6">
        <v>200</v>
      </c>
      <c r="E141" s="6"/>
      <c r="F141" s="6"/>
      <c r="G141" s="6"/>
      <c r="H141" s="6"/>
      <c r="I141" s="6"/>
      <c r="J141" s="6"/>
      <c r="K141" s="7"/>
    </row>
    <row r="142" spans="1:11" x14ac:dyDescent="0.2">
      <c r="A142" s="5">
        <v>2</v>
      </c>
      <c r="B142" s="6">
        <v>200</v>
      </c>
      <c r="C142" s="6">
        <v>5</v>
      </c>
      <c r="D142" s="6">
        <v>200</v>
      </c>
      <c r="E142" s="6">
        <v>52.914992272024719</v>
      </c>
      <c r="F142" s="6">
        <v>1.3861955474943168</v>
      </c>
      <c r="G142" s="6">
        <v>1.213565172262588</v>
      </c>
      <c r="H142" s="6">
        <v>0.24413621793026774</v>
      </c>
      <c r="I142" s="6"/>
      <c r="J142" s="6"/>
      <c r="K142" s="7"/>
    </row>
    <row r="143" spans="1:11" x14ac:dyDescent="0.2">
      <c r="A143" s="5">
        <v>2</v>
      </c>
      <c r="B143" s="6">
        <v>200</v>
      </c>
      <c r="C143" s="6">
        <v>5</v>
      </c>
      <c r="D143" s="6">
        <v>200</v>
      </c>
      <c r="E143" s="6">
        <v>39.73541600255021</v>
      </c>
      <c r="F143" s="6">
        <v>1.0409347970308591</v>
      </c>
      <c r="G143" s="6"/>
      <c r="H143" s="6"/>
      <c r="I143" s="6"/>
      <c r="J143" s="6"/>
      <c r="K143" s="7"/>
    </row>
    <row r="144" spans="1:11" x14ac:dyDescent="0.2">
      <c r="A144" s="5">
        <v>2</v>
      </c>
      <c r="B144" s="6">
        <v>200</v>
      </c>
      <c r="C144" s="6">
        <v>5</v>
      </c>
      <c r="D144" s="6">
        <v>200</v>
      </c>
      <c r="E144" s="6">
        <v>80.196326789107033</v>
      </c>
      <c r="F144" s="6">
        <v>0.63720419936374462</v>
      </c>
      <c r="G144" s="6">
        <v>0.65929904007670692</v>
      </c>
      <c r="H144" s="6">
        <v>3.1246823394744438E-2</v>
      </c>
      <c r="I144" s="6"/>
      <c r="J144" s="6"/>
      <c r="K144" s="7"/>
    </row>
    <row r="145" spans="1:11" x14ac:dyDescent="0.2">
      <c r="A145" s="8">
        <v>2</v>
      </c>
      <c r="B145" s="9">
        <v>200</v>
      </c>
      <c r="C145" s="9">
        <v>5</v>
      </c>
      <c r="D145" s="9">
        <v>200</v>
      </c>
      <c r="E145" s="9">
        <v>85.757887958789439</v>
      </c>
      <c r="F145" s="9">
        <v>0.68139388078966912</v>
      </c>
      <c r="G145" s="9"/>
      <c r="H145" s="9"/>
      <c r="I145" s="9"/>
      <c r="J145" s="9"/>
      <c r="K145" s="10"/>
    </row>
    <row r="146" spans="1:11" x14ac:dyDescent="0.2">
      <c r="A146" s="11">
        <v>2</v>
      </c>
      <c r="B146" s="3">
        <v>200</v>
      </c>
      <c r="C146" s="3">
        <v>20</v>
      </c>
      <c r="D146" s="3">
        <v>25</v>
      </c>
      <c r="E146" s="3">
        <v>52.993074054342031</v>
      </c>
      <c r="F146" s="3">
        <v>1.2873244674277426</v>
      </c>
      <c r="G146" s="3">
        <v>1.2901236145385122</v>
      </c>
      <c r="H146" s="3">
        <v>3.9585918071277787E-3</v>
      </c>
      <c r="I146" s="3"/>
      <c r="J146" s="3">
        <f>AVERAGE(E146:E153)</f>
        <v>59.978787092914409</v>
      </c>
      <c r="K146" s="12">
        <f t="shared" ref="K146" si="14">AVERAGE(F146:F153)</f>
        <v>0.77132204314458153</v>
      </c>
    </row>
    <row r="147" spans="1:11" x14ac:dyDescent="0.2">
      <c r="A147" s="5">
        <v>2</v>
      </c>
      <c r="B147" s="6">
        <v>200</v>
      </c>
      <c r="C147" s="6">
        <v>20</v>
      </c>
      <c r="D147" s="6">
        <v>25</v>
      </c>
      <c r="E147" s="6">
        <v>53.223529411764709</v>
      </c>
      <c r="F147" s="6">
        <v>1.2929227616492818</v>
      </c>
      <c r="G147" s="6"/>
      <c r="H147" s="6"/>
      <c r="I147" s="6"/>
      <c r="J147" s="6"/>
      <c r="K147" s="7"/>
    </row>
    <row r="148" spans="1:11" x14ac:dyDescent="0.2">
      <c r="A148" s="5">
        <v>2</v>
      </c>
      <c r="B148" s="6">
        <v>200</v>
      </c>
      <c r="C148" s="6">
        <v>20</v>
      </c>
      <c r="D148" s="6">
        <v>25</v>
      </c>
      <c r="E148" s="6">
        <v>24.922261484098939</v>
      </c>
      <c r="F148" s="6">
        <v>0.53525120173840757</v>
      </c>
      <c r="G148" s="6">
        <v>0.64513072569991525</v>
      </c>
      <c r="H148" s="6">
        <v>0.1553931130134642</v>
      </c>
      <c r="I148" s="6"/>
      <c r="J148" s="6"/>
      <c r="K148" s="7"/>
    </row>
    <row r="149" spans="1:11" x14ac:dyDescent="0.2">
      <c r="A149" s="5">
        <v>2</v>
      </c>
      <c r="B149" s="6">
        <v>200</v>
      </c>
      <c r="C149" s="6">
        <v>20</v>
      </c>
      <c r="D149" s="6">
        <v>25</v>
      </c>
      <c r="E149" s="6">
        <v>35.154639175257742</v>
      </c>
      <c r="F149" s="6">
        <v>0.75501024966142305</v>
      </c>
      <c r="G149" s="6"/>
      <c r="H149" s="6"/>
      <c r="I149" s="6"/>
      <c r="J149" s="6"/>
      <c r="K149" s="7"/>
    </row>
    <row r="150" spans="1:11" x14ac:dyDescent="0.2">
      <c r="A150" s="5">
        <v>2</v>
      </c>
      <c r="B150" s="6">
        <v>200</v>
      </c>
      <c r="C150" s="6">
        <v>20</v>
      </c>
      <c r="D150" s="6">
        <v>25</v>
      </c>
      <c r="E150" s="6">
        <v>57.909375000000004</v>
      </c>
      <c r="F150" s="6">
        <v>0.41940527461642207</v>
      </c>
      <c r="G150" s="6">
        <v>0.543300364447871</v>
      </c>
      <c r="H150" s="6">
        <v>0.1752141163510679</v>
      </c>
      <c r="I150" s="6"/>
      <c r="J150" s="6"/>
      <c r="K150" s="7"/>
    </row>
    <row r="151" spans="1:11" x14ac:dyDescent="0.2">
      <c r="A151" s="5">
        <v>2</v>
      </c>
      <c r="B151" s="6">
        <v>200</v>
      </c>
      <c r="C151" s="6">
        <v>20</v>
      </c>
      <c r="D151" s="6">
        <v>25</v>
      </c>
      <c r="E151" s="6">
        <v>92.122999157540022</v>
      </c>
      <c r="F151" s="6">
        <v>0.66719545427931992</v>
      </c>
      <c r="G151" s="6"/>
      <c r="H151" s="6"/>
      <c r="I151" s="6"/>
      <c r="J151" s="6"/>
      <c r="K151" s="7"/>
    </row>
    <row r="152" spans="1:11" x14ac:dyDescent="0.2">
      <c r="A152" s="5">
        <v>2</v>
      </c>
      <c r="B152" s="6">
        <v>200</v>
      </c>
      <c r="C152" s="6">
        <v>20</v>
      </c>
      <c r="D152" s="6">
        <v>25</v>
      </c>
      <c r="E152" s="6">
        <v>91.078827361563498</v>
      </c>
      <c r="F152" s="6">
        <v>0.67595204211602899</v>
      </c>
      <c r="G152" s="6">
        <v>0.60673346789202798</v>
      </c>
      <c r="H152" s="6">
        <v>9.7889846435710498E-2</v>
      </c>
      <c r="I152" s="6"/>
      <c r="J152" s="6"/>
      <c r="K152" s="7"/>
    </row>
    <row r="153" spans="1:11" x14ac:dyDescent="0.2">
      <c r="A153" s="8">
        <v>2</v>
      </c>
      <c r="B153" s="9">
        <v>200</v>
      </c>
      <c r="C153" s="9">
        <v>20</v>
      </c>
      <c r="D153" s="9">
        <v>25</v>
      </c>
      <c r="E153" s="9">
        <v>72.425591098748257</v>
      </c>
      <c r="F153" s="9">
        <v>0.53751489366802685</v>
      </c>
      <c r="G153" s="9"/>
      <c r="H153" s="9"/>
      <c r="I153" s="9"/>
      <c r="J153" s="9"/>
      <c r="K153" s="10"/>
    </row>
    <row r="154" spans="1:11" x14ac:dyDescent="0.2">
      <c r="A154" s="11">
        <v>2</v>
      </c>
      <c r="B154" s="3">
        <v>200</v>
      </c>
      <c r="C154" s="3">
        <v>20</v>
      </c>
      <c r="D154" s="3">
        <v>100</v>
      </c>
      <c r="E154" s="3">
        <v>57.692814042786608</v>
      </c>
      <c r="F154" s="3">
        <v>1.4014920333905925</v>
      </c>
      <c r="G154" s="3">
        <v>1.239215025174951</v>
      </c>
      <c r="H154" s="3">
        <v>0.2294943458798907</v>
      </c>
      <c r="I154" s="3"/>
      <c r="J154" s="3">
        <f>AVERAGE(E154:E161)</f>
        <v>57.336938564543594</v>
      </c>
      <c r="K154" s="12">
        <f t="shared" ref="K154" si="15">AVERAGE(F154:F161)</f>
        <v>0.75967273076016839</v>
      </c>
    </row>
    <row r="155" spans="1:11" x14ac:dyDescent="0.2">
      <c r="A155" s="5">
        <v>2</v>
      </c>
      <c r="B155" s="6">
        <v>200</v>
      </c>
      <c r="C155" s="6">
        <v>20</v>
      </c>
      <c r="D155" s="6">
        <v>100</v>
      </c>
      <c r="E155" s="6">
        <v>44.332456601788536</v>
      </c>
      <c r="F155" s="6">
        <v>1.0769380169593095</v>
      </c>
      <c r="G155" s="6"/>
      <c r="H155" s="6"/>
      <c r="I155" s="6"/>
      <c r="J155" s="6"/>
      <c r="K155" s="7"/>
    </row>
    <row r="156" spans="1:11" x14ac:dyDescent="0.2">
      <c r="A156" s="5">
        <v>2</v>
      </c>
      <c r="B156" s="6">
        <v>200</v>
      </c>
      <c r="C156" s="6">
        <v>20</v>
      </c>
      <c r="D156" s="6">
        <v>100</v>
      </c>
      <c r="E156" s="6">
        <v>53.045685279187808</v>
      </c>
      <c r="F156" s="6">
        <v>1.1392532259096135</v>
      </c>
      <c r="G156" s="6">
        <v>0.74740495163758836</v>
      </c>
      <c r="H156" s="6">
        <v>0.5541571438679902</v>
      </c>
      <c r="I156" s="6"/>
      <c r="J156" s="6"/>
      <c r="K156" s="7"/>
    </row>
    <row r="157" spans="1:11" x14ac:dyDescent="0.2">
      <c r="A157" s="5">
        <v>2</v>
      </c>
      <c r="B157" s="6">
        <v>200</v>
      </c>
      <c r="C157" s="6">
        <v>20</v>
      </c>
      <c r="D157" s="6">
        <v>100</v>
      </c>
      <c r="E157" s="6">
        <v>16.555360281195078</v>
      </c>
      <c r="F157" s="6">
        <v>0.35555667736556312</v>
      </c>
      <c r="G157" s="6"/>
      <c r="H157" s="6"/>
      <c r="I157" s="6"/>
      <c r="J157" s="6"/>
      <c r="K157" s="7"/>
    </row>
    <row r="158" spans="1:11" x14ac:dyDescent="0.2">
      <c r="A158" s="5">
        <v>2</v>
      </c>
      <c r="B158" s="6">
        <v>200</v>
      </c>
      <c r="C158" s="6">
        <v>20</v>
      </c>
      <c r="D158" s="6">
        <v>100</v>
      </c>
      <c r="E158" s="6">
        <v>60.658711217183765</v>
      </c>
      <c r="F158" s="6">
        <v>0.43931718199205566</v>
      </c>
      <c r="G158" s="6">
        <v>0.53306200890988065</v>
      </c>
      <c r="H158" s="6">
        <v>0.13257520562950667</v>
      </c>
      <c r="I158" s="6"/>
      <c r="J158" s="6"/>
      <c r="K158" s="7"/>
    </row>
    <row r="159" spans="1:11" x14ac:dyDescent="0.2">
      <c r="A159" s="5">
        <v>2</v>
      </c>
      <c r="B159" s="6">
        <v>200</v>
      </c>
      <c r="C159" s="6">
        <v>20</v>
      </c>
      <c r="D159" s="6">
        <v>100</v>
      </c>
      <c r="E159" s="6">
        <v>86.54634146341462</v>
      </c>
      <c r="F159" s="6">
        <v>0.62680683582770569</v>
      </c>
      <c r="G159" s="6"/>
      <c r="H159" s="6"/>
      <c r="I159" s="6"/>
      <c r="J159" s="6"/>
      <c r="K159" s="7"/>
    </row>
    <row r="160" spans="1:11" x14ac:dyDescent="0.2">
      <c r="A160" s="5">
        <v>2</v>
      </c>
      <c r="B160" s="6">
        <v>200</v>
      </c>
      <c r="C160" s="6">
        <v>20</v>
      </c>
      <c r="D160" s="6">
        <v>100</v>
      </c>
      <c r="E160" s="6">
        <v>79.690585911784069</v>
      </c>
      <c r="F160" s="6">
        <v>0.59143289219845518</v>
      </c>
      <c r="G160" s="6">
        <v>0.51900893731825359</v>
      </c>
      <c r="H160" s="6">
        <v>0.10242293923227823</v>
      </c>
      <c r="I160" s="6"/>
      <c r="J160" s="6"/>
      <c r="K160" s="7"/>
    </row>
    <row r="161" spans="1:11" x14ac:dyDescent="0.2">
      <c r="A161" s="8">
        <v>2</v>
      </c>
      <c r="B161" s="9">
        <v>200</v>
      </c>
      <c r="C161" s="9">
        <v>20</v>
      </c>
      <c r="D161" s="9">
        <v>100</v>
      </c>
      <c r="E161" s="9">
        <v>60.173553719008268</v>
      </c>
      <c r="F161" s="9">
        <v>0.44658498243805206</v>
      </c>
      <c r="G161" s="9"/>
      <c r="H161" s="9"/>
      <c r="I161" s="9"/>
      <c r="J161" s="9"/>
      <c r="K161" s="10"/>
    </row>
    <row r="162" spans="1:11" x14ac:dyDescent="0.2">
      <c r="A162" s="11">
        <v>2</v>
      </c>
      <c r="B162" s="3">
        <v>200</v>
      </c>
      <c r="C162" s="3">
        <v>20</v>
      </c>
      <c r="D162" s="3">
        <v>200</v>
      </c>
      <c r="E162" s="3">
        <v>57.510224438902746</v>
      </c>
      <c r="F162" s="3">
        <v>1.3970565091495077</v>
      </c>
      <c r="G162" s="3">
        <v>1.1626307707885171</v>
      </c>
      <c r="H162" s="3">
        <v>0.33152805855944045</v>
      </c>
      <c r="I162" s="3"/>
      <c r="J162" s="3">
        <f>AVERAGE(E162:E169)</f>
        <v>55.096551136736622</v>
      </c>
      <c r="K162" s="12">
        <f t="shared" ref="K162" si="16">AVERAGE(F162:F169)</f>
        <v>0.75147484270114395</v>
      </c>
    </row>
    <row r="163" spans="1:11" x14ac:dyDescent="0.2">
      <c r="A163" s="5">
        <v>2</v>
      </c>
      <c r="B163" s="6">
        <v>200</v>
      </c>
      <c r="C163" s="6">
        <v>20</v>
      </c>
      <c r="D163" s="6">
        <v>200</v>
      </c>
      <c r="E163" s="6">
        <v>38.209821428571431</v>
      </c>
      <c r="F163" s="6">
        <v>0.92820503242752661</v>
      </c>
      <c r="G163" s="6"/>
      <c r="H163" s="6"/>
      <c r="I163" s="6"/>
      <c r="J163" s="6"/>
      <c r="K163" s="7"/>
    </row>
    <row r="164" spans="1:11" x14ac:dyDescent="0.2">
      <c r="A164" s="5">
        <v>2</v>
      </c>
      <c r="B164" s="6">
        <v>200</v>
      </c>
      <c r="C164" s="6">
        <v>20</v>
      </c>
      <c r="D164" s="6">
        <v>200</v>
      </c>
      <c r="E164" s="6">
        <v>52.567474048442904</v>
      </c>
      <c r="F164" s="6">
        <v>1.1289827640534804</v>
      </c>
      <c r="G164" s="6">
        <v>0.8763584797223325</v>
      </c>
      <c r="H164" s="6">
        <v>0.35726468908590625</v>
      </c>
      <c r="I164" s="6"/>
      <c r="J164" s="6"/>
      <c r="K164" s="7"/>
    </row>
    <row r="165" spans="1:11" x14ac:dyDescent="0.2">
      <c r="A165" s="5">
        <v>2</v>
      </c>
      <c r="B165" s="6">
        <v>200</v>
      </c>
      <c r="C165" s="6">
        <v>20</v>
      </c>
      <c r="D165" s="6">
        <v>200</v>
      </c>
      <c r="E165" s="6">
        <v>29.042189281641964</v>
      </c>
      <c r="F165" s="6">
        <v>0.62373419539118458</v>
      </c>
      <c r="G165" s="6"/>
      <c r="H165" s="6"/>
      <c r="I165" s="6"/>
      <c r="J165" s="6"/>
      <c r="K165" s="7"/>
    </row>
    <row r="166" spans="1:11" x14ac:dyDescent="0.2">
      <c r="A166" s="5">
        <v>2</v>
      </c>
      <c r="B166" s="6">
        <v>200</v>
      </c>
      <c r="C166" s="6">
        <v>20</v>
      </c>
      <c r="D166" s="6">
        <v>200</v>
      </c>
      <c r="E166" s="6">
        <v>41.50369276218612</v>
      </c>
      <c r="F166" s="6">
        <v>0.30058807681002042</v>
      </c>
      <c r="G166" s="6">
        <v>0.43150159376092956</v>
      </c>
      <c r="H166" s="6">
        <v>0.18513967116993568</v>
      </c>
      <c r="I166" s="6"/>
      <c r="J166" s="6"/>
      <c r="K166" s="7"/>
    </row>
    <row r="167" spans="1:11" x14ac:dyDescent="0.2">
      <c r="A167" s="5">
        <v>2</v>
      </c>
      <c r="B167" s="6">
        <v>200</v>
      </c>
      <c r="C167" s="6">
        <v>20</v>
      </c>
      <c r="D167" s="6">
        <v>200</v>
      </c>
      <c r="E167" s="6">
        <v>77.655455291222324</v>
      </c>
      <c r="F167" s="6">
        <v>0.56241511071183869</v>
      </c>
      <c r="G167" s="6"/>
      <c r="H167" s="6"/>
      <c r="I167" s="6"/>
      <c r="J167" s="6"/>
      <c r="K167" s="7"/>
    </row>
    <row r="168" spans="1:11" x14ac:dyDescent="0.2">
      <c r="A168" s="5">
        <v>2</v>
      </c>
      <c r="B168" s="6">
        <v>200</v>
      </c>
      <c r="C168" s="6">
        <v>20</v>
      </c>
      <c r="D168" s="6">
        <v>200</v>
      </c>
      <c r="E168" s="6">
        <v>87.091799265605871</v>
      </c>
      <c r="F168" s="6">
        <v>0.64636185237041655</v>
      </c>
      <c r="G168" s="6">
        <v>0.53540852653279702</v>
      </c>
      <c r="H168" s="6">
        <v>0.15691169818996242</v>
      </c>
      <c r="I168" s="6"/>
      <c r="J168" s="6"/>
      <c r="K168" s="7"/>
    </row>
    <row r="169" spans="1:11" x14ac:dyDescent="0.2">
      <c r="A169" s="8">
        <v>2</v>
      </c>
      <c r="B169" s="9">
        <v>200</v>
      </c>
      <c r="C169" s="9">
        <v>20</v>
      </c>
      <c r="D169" s="9">
        <v>200</v>
      </c>
      <c r="E169" s="9">
        <v>57.191752577319598</v>
      </c>
      <c r="F169" s="9">
        <v>0.42445520069517739</v>
      </c>
      <c r="G169" s="9"/>
      <c r="H169" s="9"/>
      <c r="I169" s="9"/>
      <c r="J169" s="9"/>
      <c r="K169" s="10"/>
    </row>
    <row r="170" spans="1:11" x14ac:dyDescent="0.2">
      <c r="A170" s="11">
        <v>2</v>
      </c>
      <c r="B170" s="3">
        <v>500</v>
      </c>
      <c r="C170" s="3">
        <v>2</v>
      </c>
      <c r="D170" s="3">
        <v>25</v>
      </c>
      <c r="E170" s="3">
        <v>40.527595965417873</v>
      </c>
      <c r="F170" s="3">
        <v>0.87457965601923693</v>
      </c>
      <c r="G170" s="3">
        <v>0.65791624294397244</v>
      </c>
      <c r="H170" s="3">
        <v>0.30640833724108324</v>
      </c>
      <c r="I170" s="3"/>
      <c r="J170" s="3">
        <f>AVERAGE(E170:E177)</f>
        <v>64.747251407560967</v>
      </c>
      <c r="K170" s="12">
        <f t="shared" ref="K170" si="17">AVERAGE(F170:F177)</f>
        <v>0.72678071809119205</v>
      </c>
    </row>
    <row r="171" spans="1:11" x14ac:dyDescent="0.2">
      <c r="A171" s="5">
        <v>2</v>
      </c>
      <c r="B171" s="6">
        <v>500</v>
      </c>
      <c r="C171" s="6">
        <v>2</v>
      </c>
      <c r="D171" s="6">
        <v>25</v>
      </c>
      <c r="E171" s="6">
        <v>20.447441561712846</v>
      </c>
      <c r="F171" s="6">
        <v>0.44125282986870801</v>
      </c>
      <c r="G171" s="6"/>
      <c r="H171" s="6"/>
      <c r="I171" s="6"/>
      <c r="J171" s="6"/>
      <c r="K171" s="7"/>
    </row>
    <row r="172" spans="1:11" x14ac:dyDescent="0.2">
      <c r="A172" s="5">
        <v>2</v>
      </c>
      <c r="B172" s="6">
        <v>500</v>
      </c>
      <c r="C172" s="6">
        <v>2</v>
      </c>
      <c r="D172" s="6">
        <v>25</v>
      </c>
      <c r="E172" s="6">
        <v>6.4567741935483873</v>
      </c>
      <c r="F172" s="6">
        <v>0.18153570021042126</v>
      </c>
      <c r="G172" s="6">
        <v>0.18153570021042126</v>
      </c>
      <c r="H172" s="6"/>
      <c r="I172" s="6"/>
      <c r="J172" s="6"/>
      <c r="K172" s="7"/>
    </row>
    <row r="173" spans="1:11" x14ac:dyDescent="0.2">
      <c r="A173" s="5">
        <v>2</v>
      </c>
      <c r="B173" s="6">
        <v>500</v>
      </c>
      <c r="C173" s="6">
        <v>2</v>
      </c>
      <c r="D173" s="6">
        <v>25</v>
      </c>
      <c r="E173" s="6"/>
      <c r="F173" s="6"/>
      <c r="G173" s="6"/>
      <c r="H173" s="6"/>
      <c r="I173" s="6"/>
      <c r="J173" s="6"/>
      <c r="K173" s="7"/>
    </row>
    <row r="174" spans="1:11" x14ac:dyDescent="0.2">
      <c r="A174" s="5">
        <v>2</v>
      </c>
      <c r="B174" s="6">
        <v>500</v>
      </c>
      <c r="C174" s="6">
        <v>2</v>
      </c>
      <c r="D174" s="6">
        <v>25</v>
      </c>
      <c r="E174" s="6">
        <v>86.73150543197103</v>
      </c>
      <c r="F174" s="6">
        <v>0.99648672604949118</v>
      </c>
      <c r="G174" s="6">
        <v>0.99648672604949118</v>
      </c>
      <c r="H174" s="6"/>
      <c r="I174" s="6"/>
      <c r="J174" s="6"/>
      <c r="K174" s="7"/>
    </row>
    <row r="175" spans="1:11" x14ac:dyDescent="0.2">
      <c r="A175" s="5">
        <v>2</v>
      </c>
      <c r="B175" s="6">
        <v>500</v>
      </c>
      <c r="C175" s="6">
        <v>2</v>
      </c>
      <c r="D175" s="6">
        <v>25</v>
      </c>
      <c r="E175" s="6"/>
      <c r="F175" s="6"/>
      <c r="G175" s="6"/>
      <c r="H175" s="6"/>
      <c r="I175" s="6"/>
      <c r="J175" s="6"/>
      <c r="K175" s="7"/>
    </row>
    <row r="176" spans="1:11" x14ac:dyDescent="0.2">
      <c r="A176" s="5">
        <v>2</v>
      </c>
      <c r="B176" s="6">
        <v>500</v>
      </c>
      <c r="C176" s="6">
        <v>2</v>
      </c>
      <c r="D176" s="6">
        <v>25</v>
      </c>
      <c r="E176" s="6">
        <v>132.96980461811722</v>
      </c>
      <c r="F176" s="6">
        <v>1.0593706787499058</v>
      </c>
      <c r="G176" s="6">
        <v>0.9334146981996474</v>
      </c>
      <c r="H176" s="6">
        <v>0.17812865595617772</v>
      </c>
      <c r="I176" s="6"/>
      <c r="J176" s="6"/>
      <c r="K176" s="7"/>
    </row>
    <row r="177" spans="1:11" x14ac:dyDescent="0.2">
      <c r="A177" s="8">
        <v>2</v>
      </c>
      <c r="B177" s="9">
        <v>500</v>
      </c>
      <c r="C177" s="9">
        <v>2</v>
      </c>
      <c r="D177" s="9">
        <v>25</v>
      </c>
      <c r="E177" s="9">
        <v>101.35038667459844</v>
      </c>
      <c r="F177" s="9">
        <v>0.80745871764938915</v>
      </c>
      <c r="G177" s="9"/>
      <c r="H177" s="9"/>
      <c r="I177" s="9"/>
      <c r="J177" s="9"/>
      <c r="K177" s="10"/>
    </row>
    <row r="178" spans="1:11" x14ac:dyDescent="0.2">
      <c r="A178" s="11">
        <v>2</v>
      </c>
      <c r="B178" s="3">
        <v>500</v>
      </c>
      <c r="C178" s="3">
        <v>2</v>
      </c>
      <c r="D178" s="3">
        <v>100</v>
      </c>
      <c r="E178" s="3">
        <v>19.67601557305337</v>
      </c>
      <c r="F178" s="3">
        <v>0.42460556866965232</v>
      </c>
      <c r="G178" s="3">
        <v>0.43707427755352624</v>
      </c>
      <c r="H178" s="3">
        <v>1.7633417208856385E-2</v>
      </c>
      <c r="I178" s="3"/>
      <c r="J178" s="3">
        <f>AVERAGE(E178:E185)</f>
        <v>56.990231727897509</v>
      </c>
      <c r="K178" s="12">
        <f t="shared" ref="K178" si="18">AVERAGE(F178:F185)</f>
        <v>0.72626415210608686</v>
      </c>
    </row>
    <row r="179" spans="1:11" x14ac:dyDescent="0.2">
      <c r="A179" s="5">
        <v>2</v>
      </c>
      <c r="B179" s="6">
        <v>500</v>
      </c>
      <c r="C179" s="6">
        <v>2</v>
      </c>
      <c r="D179" s="6">
        <v>100</v>
      </c>
      <c r="E179" s="6">
        <v>20.831603385731562</v>
      </c>
      <c r="F179" s="6">
        <v>0.44954298643740015</v>
      </c>
      <c r="G179" s="6"/>
      <c r="H179" s="6"/>
      <c r="I179" s="6"/>
      <c r="J179" s="6"/>
      <c r="K179" s="7"/>
    </row>
    <row r="180" spans="1:11" x14ac:dyDescent="0.2">
      <c r="A180" s="5">
        <v>2</v>
      </c>
      <c r="B180" s="6">
        <v>500</v>
      </c>
      <c r="C180" s="6">
        <v>2</v>
      </c>
      <c r="D180" s="6">
        <v>100</v>
      </c>
      <c r="E180" s="6">
        <v>40.23011015911873</v>
      </c>
      <c r="F180" s="6">
        <v>1.1310913156255897</v>
      </c>
      <c r="G180" s="6">
        <v>1.1310913156255897</v>
      </c>
      <c r="H180" s="6"/>
      <c r="I180" s="6"/>
      <c r="J180" s="6"/>
      <c r="K180" s="7"/>
    </row>
    <row r="181" spans="1:11" x14ac:dyDescent="0.2">
      <c r="A181" s="5">
        <v>2</v>
      </c>
      <c r="B181" s="6">
        <v>500</v>
      </c>
      <c r="C181" s="6">
        <v>2</v>
      </c>
      <c r="D181" s="6">
        <v>100</v>
      </c>
      <c r="E181" s="6"/>
      <c r="F181" s="6"/>
      <c r="G181" s="6"/>
      <c r="H181" s="6"/>
      <c r="I181" s="6"/>
      <c r="J181" s="6"/>
      <c r="K181" s="7"/>
    </row>
    <row r="182" spans="1:11" x14ac:dyDescent="0.2">
      <c r="A182" s="5">
        <v>2</v>
      </c>
      <c r="B182" s="6">
        <v>500</v>
      </c>
      <c r="C182" s="6">
        <v>2</v>
      </c>
      <c r="D182" s="6">
        <v>100</v>
      </c>
      <c r="E182" s="6">
        <v>77.03289473684211</v>
      </c>
      <c r="F182" s="6">
        <v>0.88505620526373008</v>
      </c>
      <c r="G182" s="6">
        <v>0.88505620526373008</v>
      </c>
      <c r="H182" s="6"/>
      <c r="I182" s="6"/>
      <c r="J182" s="6"/>
      <c r="K182" s="7"/>
    </row>
    <row r="183" spans="1:11" x14ac:dyDescent="0.2">
      <c r="A183" s="5">
        <v>2</v>
      </c>
      <c r="B183" s="6">
        <v>500</v>
      </c>
      <c r="C183" s="6">
        <v>2</v>
      </c>
      <c r="D183" s="6">
        <v>100</v>
      </c>
      <c r="E183" s="6"/>
      <c r="F183" s="6"/>
      <c r="G183" s="6"/>
      <c r="H183" s="6"/>
      <c r="I183" s="6"/>
      <c r="J183" s="6"/>
      <c r="K183" s="7"/>
    </row>
    <row r="184" spans="1:11" x14ac:dyDescent="0.2">
      <c r="A184" s="5">
        <v>2</v>
      </c>
      <c r="B184" s="6">
        <v>500</v>
      </c>
      <c r="C184" s="6">
        <v>2</v>
      </c>
      <c r="D184" s="6">
        <v>100</v>
      </c>
      <c r="E184" s="6">
        <v>93.057692307692307</v>
      </c>
      <c r="F184" s="6">
        <v>0.74139080632647592</v>
      </c>
      <c r="G184" s="6">
        <v>0.73364441832007443</v>
      </c>
      <c r="H184" s="6">
        <v>1.095504697805726E-2</v>
      </c>
      <c r="I184" s="6"/>
      <c r="J184" s="6"/>
      <c r="K184" s="7"/>
    </row>
    <row r="185" spans="1:11" x14ac:dyDescent="0.2">
      <c r="A185" s="8">
        <v>2</v>
      </c>
      <c r="B185" s="9">
        <v>500</v>
      </c>
      <c r="C185" s="9">
        <v>2</v>
      </c>
      <c r="D185" s="9">
        <v>100</v>
      </c>
      <c r="E185" s="9">
        <v>91.113074204946983</v>
      </c>
      <c r="F185" s="9">
        <v>0.72589803031367295</v>
      </c>
      <c r="G185" s="9"/>
      <c r="H185" s="9"/>
      <c r="I185" s="9"/>
      <c r="J185" s="9"/>
      <c r="K185" s="10"/>
    </row>
    <row r="186" spans="1:11" x14ac:dyDescent="0.2">
      <c r="A186" s="11">
        <v>2</v>
      </c>
      <c r="B186" s="3">
        <v>500</v>
      </c>
      <c r="C186" s="3">
        <v>2</v>
      </c>
      <c r="D186" s="3">
        <v>200</v>
      </c>
      <c r="E186" s="3">
        <v>25.067036818181819</v>
      </c>
      <c r="F186" s="3">
        <v>0.54094302698274932</v>
      </c>
      <c r="G186" s="3">
        <v>0.45710253583849847</v>
      </c>
      <c r="H186" s="3">
        <v>0.1185683596522208</v>
      </c>
      <c r="I186" s="3"/>
      <c r="J186" s="3">
        <f>AVERAGE(E186:E193)</f>
        <v>59.011010468560386</v>
      </c>
      <c r="K186" s="12">
        <f t="shared" ref="K186" si="19">AVERAGE(F186:F193)</f>
        <v>0.73910330937405699</v>
      </c>
    </row>
    <row r="187" spans="1:11" x14ac:dyDescent="0.2">
      <c r="A187" s="5">
        <v>2</v>
      </c>
      <c r="B187" s="6">
        <v>500</v>
      </c>
      <c r="C187" s="6">
        <v>2</v>
      </c>
      <c r="D187" s="6">
        <v>200</v>
      </c>
      <c r="E187" s="6">
        <v>17.296781639591991</v>
      </c>
      <c r="F187" s="6">
        <v>0.37326204469424762</v>
      </c>
      <c r="G187" s="6"/>
      <c r="H187" s="6"/>
      <c r="I187" s="6"/>
      <c r="J187" s="6"/>
      <c r="K187" s="7"/>
    </row>
    <row r="188" spans="1:11" x14ac:dyDescent="0.2">
      <c r="A188" s="5">
        <v>2</v>
      </c>
      <c r="B188" s="6">
        <v>500</v>
      </c>
      <c r="C188" s="6">
        <v>2</v>
      </c>
      <c r="D188" s="6">
        <v>200</v>
      </c>
      <c r="E188" s="6">
        <v>38.5631067961165</v>
      </c>
      <c r="F188" s="6">
        <v>1.0842226140597031</v>
      </c>
      <c r="G188" s="6">
        <v>1.0842226140597031</v>
      </c>
      <c r="H188" s="6"/>
      <c r="I188" s="6"/>
      <c r="J188" s="6"/>
      <c r="K188" s="7"/>
    </row>
    <row r="189" spans="1:11" x14ac:dyDescent="0.2">
      <c r="A189" s="5">
        <v>2</v>
      </c>
      <c r="B189" s="6">
        <v>500</v>
      </c>
      <c r="C189" s="6">
        <v>2</v>
      </c>
      <c r="D189" s="6">
        <v>200</v>
      </c>
      <c r="E189" s="6"/>
      <c r="F189" s="6"/>
      <c r="G189" s="6"/>
      <c r="H189" s="6"/>
      <c r="I189" s="6"/>
      <c r="J189" s="6"/>
      <c r="K189" s="7"/>
    </row>
    <row r="190" spans="1:11" x14ac:dyDescent="0.2">
      <c r="A190" s="5">
        <v>2</v>
      </c>
      <c r="B190" s="6">
        <v>500</v>
      </c>
      <c r="C190" s="6">
        <v>2</v>
      </c>
      <c r="D190" s="6">
        <v>200</v>
      </c>
      <c r="E190" s="6">
        <v>73.841017488076304</v>
      </c>
      <c r="F190" s="6">
        <v>0.84838368016765309</v>
      </c>
      <c r="G190" s="6">
        <v>0.84838368016765309</v>
      </c>
      <c r="H190" s="6"/>
      <c r="I190" s="6"/>
      <c r="J190" s="6"/>
      <c r="K190" s="7"/>
    </row>
    <row r="191" spans="1:11" x14ac:dyDescent="0.2">
      <c r="A191" s="5">
        <v>2</v>
      </c>
      <c r="B191" s="6">
        <v>500</v>
      </c>
      <c r="C191" s="6">
        <v>2</v>
      </c>
      <c r="D191" s="6">
        <v>200</v>
      </c>
      <c r="E191" s="6"/>
      <c r="F191" s="6"/>
      <c r="G191" s="6"/>
      <c r="H191" s="6"/>
      <c r="I191" s="6"/>
      <c r="J191" s="6"/>
      <c r="K191" s="7"/>
    </row>
    <row r="192" spans="1:11" x14ac:dyDescent="0.2">
      <c r="A192" s="5">
        <v>2</v>
      </c>
      <c r="B192" s="6">
        <v>500</v>
      </c>
      <c r="C192" s="6">
        <v>2</v>
      </c>
      <c r="D192" s="6">
        <v>200</v>
      </c>
      <c r="E192" s="6">
        <v>95.518015357353818</v>
      </c>
      <c r="F192" s="6">
        <v>0.7609922046029447</v>
      </c>
      <c r="G192" s="6">
        <v>0.79390424516999425</v>
      </c>
      <c r="H192" s="6">
        <v>4.6544654135295037E-2</v>
      </c>
      <c r="I192" s="6"/>
      <c r="J192" s="6"/>
      <c r="K192" s="7"/>
    </row>
    <row r="193" spans="1:11" x14ac:dyDescent="0.2">
      <c r="A193" s="8">
        <v>2</v>
      </c>
      <c r="B193" s="9">
        <v>500</v>
      </c>
      <c r="C193" s="9">
        <v>2</v>
      </c>
      <c r="D193" s="9">
        <v>200</v>
      </c>
      <c r="E193" s="9">
        <v>103.78010471204188</v>
      </c>
      <c r="F193" s="9">
        <v>0.82681628573704391</v>
      </c>
      <c r="G193" s="9"/>
      <c r="H193" s="9"/>
      <c r="I193" s="9"/>
      <c r="J193" s="9"/>
      <c r="K193" s="10"/>
    </row>
    <row r="194" spans="1:11" x14ac:dyDescent="0.2">
      <c r="A194" s="11">
        <v>2</v>
      </c>
      <c r="B194" s="3">
        <v>500</v>
      </c>
      <c r="C194" s="3">
        <v>5</v>
      </c>
      <c r="D194" s="3">
        <v>25</v>
      </c>
      <c r="E194" s="3"/>
      <c r="F194" s="3"/>
      <c r="G194" s="3"/>
      <c r="H194" s="3"/>
      <c r="I194" s="3"/>
      <c r="J194" s="3">
        <f>AVERAGE(E194:E201)</f>
        <v>59.10461654705756</v>
      </c>
      <c r="K194" s="12">
        <f t="shared" ref="K194" si="20">AVERAGE(F194:F201)</f>
        <v>0.88341712015422547</v>
      </c>
    </row>
    <row r="195" spans="1:11" x14ac:dyDescent="0.2">
      <c r="A195" s="5">
        <v>2</v>
      </c>
      <c r="B195" s="6">
        <v>500</v>
      </c>
      <c r="C195" s="6">
        <v>5</v>
      </c>
      <c r="D195" s="6">
        <v>25</v>
      </c>
      <c r="E195" s="6">
        <v>27.270576638738298</v>
      </c>
      <c r="F195" s="6">
        <v>0.6271258417931086</v>
      </c>
      <c r="G195" s="6"/>
      <c r="H195" s="6"/>
      <c r="I195" s="6"/>
      <c r="J195" s="6"/>
      <c r="K195" s="7"/>
    </row>
    <row r="196" spans="1:11" x14ac:dyDescent="0.2">
      <c r="A196" s="5">
        <v>2</v>
      </c>
      <c r="B196" s="6">
        <v>500</v>
      </c>
      <c r="C196" s="6">
        <v>5</v>
      </c>
      <c r="D196" s="6">
        <v>25</v>
      </c>
      <c r="E196" s="6">
        <v>26.645403377110686</v>
      </c>
      <c r="F196" s="6">
        <v>0.60672114060483151</v>
      </c>
      <c r="G196" s="6">
        <v>0.60672114060483151</v>
      </c>
      <c r="H196" s="6"/>
      <c r="I196" s="6"/>
      <c r="J196" s="6"/>
      <c r="K196" s="7"/>
    </row>
    <row r="197" spans="1:11" x14ac:dyDescent="0.2">
      <c r="A197" s="5">
        <v>2</v>
      </c>
      <c r="B197" s="6">
        <v>500</v>
      </c>
      <c r="C197" s="6">
        <v>5</v>
      </c>
      <c r="D197" s="6">
        <v>25</v>
      </c>
      <c r="E197" s="6"/>
      <c r="F197" s="6"/>
      <c r="G197" s="6"/>
      <c r="H197" s="6"/>
      <c r="I197" s="6"/>
      <c r="J197" s="6"/>
      <c r="K197" s="7"/>
    </row>
    <row r="198" spans="1:11" x14ac:dyDescent="0.2">
      <c r="A198" s="5">
        <v>2</v>
      </c>
      <c r="B198" s="6">
        <v>500</v>
      </c>
      <c r="C198" s="6">
        <v>5</v>
      </c>
      <c r="D198" s="6">
        <v>25</v>
      </c>
      <c r="E198" s="6">
        <v>50.53125</v>
      </c>
      <c r="F198" s="6">
        <v>1.3237494848195313</v>
      </c>
      <c r="G198" s="6">
        <v>1.2037783552216488</v>
      </c>
      <c r="H198" s="6">
        <v>0.16966479857054548</v>
      </c>
      <c r="I198" s="6"/>
      <c r="J198" s="6"/>
      <c r="K198" s="7"/>
    </row>
    <row r="199" spans="1:11" x14ac:dyDescent="0.2">
      <c r="A199" s="5">
        <v>2</v>
      </c>
      <c r="B199" s="6">
        <v>500</v>
      </c>
      <c r="C199" s="6">
        <v>5</v>
      </c>
      <c r="D199" s="6">
        <v>25</v>
      </c>
      <c r="E199" s="6">
        <v>41.371977475985425</v>
      </c>
      <c r="F199" s="6">
        <v>1.0838072256237665</v>
      </c>
      <c r="G199" s="6"/>
      <c r="H199" s="6"/>
      <c r="I199" s="6"/>
      <c r="J199" s="6"/>
      <c r="K199" s="7"/>
    </row>
    <row r="200" spans="1:11" x14ac:dyDescent="0.2">
      <c r="A200" s="5">
        <v>2</v>
      </c>
      <c r="B200" s="6">
        <v>500</v>
      </c>
      <c r="C200" s="6">
        <v>5</v>
      </c>
      <c r="D200" s="6">
        <v>25</v>
      </c>
      <c r="E200" s="6">
        <v>122.19529006318209</v>
      </c>
      <c r="F200" s="6">
        <v>0.97090920604740927</v>
      </c>
      <c r="G200" s="6">
        <v>0.82954951404205746</v>
      </c>
      <c r="H200" s="6">
        <v>0.19991279360685249</v>
      </c>
      <c r="I200" s="6"/>
      <c r="J200" s="6"/>
      <c r="K200" s="7"/>
    </row>
    <row r="201" spans="1:11" x14ac:dyDescent="0.2">
      <c r="A201" s="8">
        <v>2</v>
      </c>
      <c r="B201" s="9">
        <v>500</v>
      </c>
      <c r="C201" s="9">
        <v>5</v>
      </c>
      <c r="D201" s="9">
        <v>25</v>
      </c>
      <c r="E201" s="9">
        <v>86.613201727328814</v>
      </c>
      <c r="F201" s="9">
        <v>0.68818982203670576</v>
      </c>
      <c r="G201" s="9"/>
      <c r="H201" s="9"/>
      <c r="I201" s="9"/>
      <c r="J201" s="9"/>
      <c r="K201" s="10"/>
    </row>
    <row r="202" spans="1:11" x14ac:dyDescent="0.2">
      <c r="A202" s="11">
        <v>2</v>
      </c>
      <c r="B202" s="3">
        <v>500</v>
      </c>
      <c r="C202" s="3">
        <v>5</v>
      </c>
      <c r="D202" s="3">
        <v>100</v>
      </c>
      <c r="E202" s="3"/>
      <c r="F202" s="3"/>
      <c r="G202" s="3"/>
      <c r="H202" s="3"/>
      <c r="I202" s="3"/>
      <c r="J202" s="3">
        <f>AVERAGE(E202:E209)</f>
        <v>54.575092905165185</v>
      </c>
      <c r="K202" s="12">
        <f t="shared" ref="K202" si="21">AVERAGE(F202:F209)</f>
        <v>0.76732285349780938</v>
      </c>
    </row>
    <row r="203" spans="1:11" x14ac:dyDescent="0.2">
      <c r="A203" s="5">
        <v>2</v>
      </c>
      <c r="B203" s="6">
        <v>500</v>
      </c>
      <c r="C203" s="6">
        <v>5</v>
      </c>
      <c r="D203" s="6">
        <v>100</v>
      </c>
      <c r="E203" s="6">
        <v>31.680000000000003</v>
      </c>
      <c r="F203" s="6">
        <v>0.7285268269605929</v>
      </c>
      <c r="G203" s="6"/>
      <c r="H203" s="6"/>
      <c r="I203" s="6"/>
      <c r="J203" s="6"/>
      <c r="K203" s="7"/>
    </row>
    <row r="204" spans="1:11" x14ac:dyDescent="0.2">
      <c r="A204" s="5">
        <v>2</v>
      </c>
      <c r="B204" s="6">
        <v>500</v>
      </c>
      <c r="C204" s="6">
        <v>5</v>
      </c>
      <c r="D204" s="6">
        <v>100</v>
      </c>
      <c r="E204" s="6">
        <v>16.892307692307689</v>
      </c>
      <c r="F204" s="6">
        <v>0.38464120979789196</v>
      </c>
      <c r="G204" s="6">
        <v>0.38464120979789196</v>
      </c>
      <c r="H204" s="6"/>
      <c r="I204" s="6"/>
      <c r="J204" s="6"/>
      <c r="K204" s="7"/>
    </row>
    <row r="205" spans="1:11" x14ac:dyDescent="0.2">
      <c r="A205" s="5">
        <v>2</v>
      </c>
      <c r="B205" s="6">
        <v>500</v>
      </c>
      <c r="C205" s="6">
        <v>5</v>
      </c>
      <c r="D205" s="6">
        <v>100</v>
      </c>
      <c r="E205" s="6"/>
      <c r="F205" s="6"/>
      <c r="G205" s="6"/>
      <c r="H205" s="6"/>
      <c r="I205" s="6"/>
      <c r="J205" s="6"/>
      <c r="K205" s="7"/>
    </row>
    <row r="206" spans="1:11" x14ac:dyDescent="0.2">
      <c r="A206" s="5">
        <v>2</v>
      </c>
      <c r="B206" s="6">
        <v>500</v>
      </c>
      <c r="C206" s="6">
        <v>5</v>
      </c>
      <c r="D206" s="6">
        <v>100</v>
      </c>
      <c r="E206" s="6">
        <v>51.348837209302332</v>
      </c>
      <c r="F206" s="6">
        <v>1.3451675310208224</v>
      </c>
      <c r="G206" s="6">
        <v>0.91498111993120901</v>
      </c>
      <c r="H206" s="6">
        <v>0.60837545691153916</v>
      </c>
      <c r="I206" s="6"/>
      <c r="J206" s="6"/>
      <c r="K206" s="7"/>
    </row>
    <row r="207" spans="1:11" x14ac:dyDescent="0.2">
      <c r="A207" s="5">
        <v>2</v>
      </c>
      <c r="B207" s="6">
        <v>500</v>
      </c>
      <c r="C207" s="6">
        <v>5</v>
      </c>
      <c r="D207" s="6">
        <v>100</v>
      </c>
      <c r="E207" s="6">
        <v>18.505980861244023</v>
      </c>
      <c r="F207" s="6">
        <v>0.48479470884159565</v>
      </c>
      <c r="G207" s="6"/>
      <c r="H207" s="6"/>
      <c r="I207" s="6"/>
      <c r="J207" s="6"/>
      <c r="K207" s="7"/>
    </row>
    <row r="208" spans="1:11" x14ac:dyDescent="0.2">
      <c r="A208" s="5">
        <v>2</v>
      </c>
      <c r="B208" s="6">
        <v>500</v>
      </c>
      <c r="C208" s="6">
        <v>5</v>
      </c>
      <c r="D208" s="6">
        <v>100</v>
      </c>
      <c r="E208" s="6">
        <v>114.78688524590167</v>
      </c>
      <c r="F208" s="6">
        <v>0.91204532974330299</v>
      </c>
      <c r="G208" s="6">
        <v>0.8304034221829768</v>
      </c>
      <c r="H208" s="6">
        <v>0.11545909292982375</v>
      </c>
      <c r="I208" s="6"/>
      <c r="J208" s="6"/>
      <c r="K208" s="7"/>
    </row>
    <row r="209" spans="1:11" x14ac:dyDescent="0.2">
      <c r="A209" s="8">
        <v>2</v>
      </c>
      <c r="B209" s="9">
        <v>500</v>
      </c>
      <c r="C209" s="9">
        <v>5</v>
      </c>
      <c r="D209" s="9">
        <v>100</v>
      </c>
      <c r="E209" s="9">
        <v>94.236546422235364</v>
      </c>
      <c r="F209" s="9">
        <v>0.74876151462265073</v>
      </c>
      <c r="G209" s="9"/>
      <c r="H209" s="9"/>
      <c r="I209" s="9"/>
      <c r="J209" s="9"/>
      <c r="K209" s="10"/>
    </row>
    <row r="210" spans="1:11" x14ac:dyDescent="0.2">
      <c r="A210" s="11">
        <v>2</v>
      </c>
      <c r="B210" s="3">
        <v>500</v>
      </c>
      <c r="C210" s="3">
        <v>5</v>
      </c>
      <c r="D210" s="3">
        <v>200</v>
      </c>
      <c r="E210" s="3"/>
      <c r="F210" s="3"/>
      <c r="G210" s="3"/>
      <c r="H210" s="3"/>
      <c r="I210" s="3"/>
      <c r="J210" s="3">
        <f>AVERAGE(E210:E217)</f>
        <v>56.841656338677865</v>
      </c>
      <c r="K210" s="12">
        <f t="shared" ref="K210" si="22">AVERAGE(F210:F217)</f>
        <v>0.86507164114950674</v>
      </c>
    </row>
    <row r="211" spans="1:11" x14ac:dyDescent="0.2">
      <c r="A211" s="5">
        <v>2</v>
      </c>
      <c r="B211" s="6">
        <v>500</v>
      </c>
      <c r="C211" s="6">
        <v>5</v>
      </c>
      <c r="D211" s="6">
        <v>200</v>
      </c>
      <c r="E211" s="6">
        <v>22.947323704333048</v>
      </c>
      <c r="F211" s="6">
        <v>0.52770646860970172</v>
      </c>
      <c r="G211" s="6"/>
      <c r="H211" s="6"/>
      <c r="I211" s="6"/>
      <c r="J211" s="6"/>
      <c r="K211" s="7"/>
    </row>
    <row r="212" spans="1:11" x14ac:dyDescent="0.2">
      <c r="A212" s="5">
        <v>2</v>
      </c>
      <c r="B212" s="6">
        <v>500</v>
      </c>
      <c r="C212" s="6">
        <v>5</v>
      </c>
      <c r="D212" s="6">
        <v>200</v>
      </c>
      <c r="E212" s="6">
        <v>21.807692307692303</v>
      </c>
      <c r="F212" s="6">
        <v>0.4965654962554753</v>
      </c>
      <c r="G212" s="6">
        <v>0.4965654962554753</v>
      </c>
      <c r="H212" s="6"/>
      <c r="I212" s="6"/>
      <c r="J212" s="6"/>
      <c r="K212" s="7"/>
    </row>
    <row r="213" spans="1:11" x14ac:dyDescent="0.2">
      <c r="A213" s="5">
        <v>2</v>
      </c>
      <c r="B213" s="6">
        <v>500</v>
      </c>
      <c r="C213" s="6">
        <v>5</v>
      </c>
      <c r="D213" s="6">
        <v>200</v>
      </c>
      <c r="E213" s="6"/>
      <c r="F213" s="6"/>
      <c r="G213" s="6"/>
      <c r="H213" s="6"/>
      <c r="I213" s="6"/>
      <c r="J213" s="6"/>
      <c r="K213" s="7"/>
    </row>
    <row r="214" spans="1:11" x14ac:dyDescent="0.2">
      <c r="A214" s="5">
        <v>2</v>
      </c>
      <c r="B214" s="6">
        <v>500</v>
      </c>
      <c r="C214" s="6">
        <v>5</v>
      </c>
      <c r="D214" s="6">
        <v>200</v>
      </c>
      <c r="E214" s="6">
        <v>55.600661157024788</v>
      </c>
      <c r="F214" s="6">
        <v>1.4565510760615834</v>
      </c>
      <c r="G214" s="6">
        <v>1.300374342580872</v>
      </c>
      <c r="H214" s="6">
        <v>0.22086725461554987</v>
      </c>
      <c r="I214" s="6"/>
      <c r="J214" s="6"/>
      <c r="K214" s="7"/>
    </row>
    <row r="215" spans="1:11" x14ac:dyDescent="0.2">
      <c r="A215" s="5">
        <v>2</v>
      </c>
      <c r="B215" s="6">
        <v>500</v>
      </c>
      <c r="C215" s="6">
        <v>5</v>
      </c>
      <c r="D215" s="6">
        <v>200</v>
      </c>
      <c r="E215" s="6">
        <v>43.677248677248677</v>
      </c>
      <c r="F215" s="6">
        <v>1.1441976091001607</v>
      </c>
      <c r="G215" s="6"/>
      <c r="H215" s="6"/>
      <c r="I215" s="6"/>
      <c r="J215" s="6"/>
      <c r="K215" s="7"/>
    </row>
    <row r="216" spans="1:11" x14ac:dyDescent="0.2">
      <c r="A216" s="5">
        <v>2</v>
      </c>
      <c r="B216" s="6">
        <v>500</v>
      </c>
      <c r="C216" s="6">
        <v>5</v>
      </c>
      <c r="D216" s="6">
        <v>200</v>
      </c>
      <c r="E216" s="6">
        <v>121.8346222486615</v>
      </c>
      <c r="F216" s="6">
        <v>0.96804350065678435</v>
      </c>
      <c r="G216" s="6">
        <v>0.7827045984350598</v>
      </c>
      <c r="H216" s="6">
        <v>0.26210878915730407</v>
      </c>
      <c r="I216" s="6"/>
      <c r="J216" s="6"/>
      <c r="K216" s="7"/>
    </row>
    <row r="217" spans="1:11" x14ac:dyDescent="0.2">
      <c r="A217" s="8">
        <v>2</v>
      </c>
      <c r="B217" s="9">
        <v>500</v>
      </c>
      <c r="C217" s="9">
        <v>5</v>
      </c>
      <c r="D217" s="9">
        <v>200</v>
      </c>
      <c r="E217" s="9">
        <v>75.182389937106919</v>
      </c>
      <c r="F217" s="9">
        <v>0.59736569621333524</v>
      </c>
      <c r="G217" s="9"/>
      <c r="H217" s="9"/>
      <c r="I217" s="9"/>
      <c r="J217" s="9"/>
      <c r="K217" s="10"/>
    </row>
    <row r="218" spans="1:11" x14ac:dyDescent="0.2">
      <c r="A218" s="11">
        <v>2</v>
      </c>
      <c r="B218" s="3">
        <v>500</v>
      </c>
      <c r="C218" s="3">
        <v>20</v>
      </c>
      <c r="D218" s="3">
        <v>25</v>
      </c>
      <c r="E218" s="3">
        <v>41.210040983606554</v>
      </c>
      <c r="F218" s="3">
        <v>1.0010873120418649</v>
      </c>
      <c r="G218" s="3">
        <v>0.91657793562916157</v>
      </c>
      <c r="H218" s="3">
        <v>0.11951430627053793</v>
      </c>
      <c r="I218" s="3"/>
      <c r="J218" s="3">
        <f>AVERAGE(E218:E225)</f>
        <v>41.568141004350082</v>
      </c>
      <c r="K218" s="12">
        <f t="shared" ref="K218" si="23">AVERAGE(F218:F225)</f>
        <v>0.52268474898924344</v>
      </c>
    </row>
    <row r="219" spans="1:11" x14ac:dyDescent="0.2">
      <c r="A219" s="5">
        <v>2</v>
      </c>
      <c r="B219" s="6">
        <v>500</v>
      </c>
      <c r="C219" s="6">
        <v>20</v>
      </c>
      <c r="D219" s="6">
        <v>25</v>
      </c>
      <c r="E219" s="6">
        <v>34.252336448598136</v>
      </c>
      <c r="F219" s="6">
        <v>0.83206855921645828</v>
      </c>
      <c r="G219" s="6"/>
      <c r="H219" s="6"/>
      <c r="I219" s="6"/>
      <c r="J219" s="6"/>
      <c r="K219" s="7"/>
    </row>
    <row r="220" spans="1:11" x14ac:dyDescent="0.2">
      <c r="A220" s="5">
        <v>2</v>
      </c>
      <c r="B220" s="6">
        <v>500</v>
      </c>
      <c r="C220" s="6">
        <v>20</v>
      </c>
      <c r="D220" s="6">
        <v>25</v>
      </c>
      <c r="E220" s="6">
        <v>14.675294117647057</v>
      </c>
      <c r="F220" s="6">
        <v>0.31517881382260787</v>
      </c>
      <c r="G220" s="6">
        <v>0.3515489453616133</v>
      </c>
      <c r="H220" s="6">
        <v>5.1435133287754342E-2</v>
      </c>
      <c r="I220" s="6"/>
      <c r="J220" s="6"/>
      <c r="K220" s="7"/>
    </row>
    <row r="221" spans="1:11" x14ac:dyDescent="0.2">
      <c r="A221" s="5">
        <v>2</v>
      </c>
      <c r="B221" s="6">
        <v>500</v>
      </c>
      <c r="C221" s="6">
        <v>20</v>
      </c>
      <c r="D221" s="6">
        <v>25</v>
      </c>
      <c r="E221" s="6">
        <v>18.062211981566819</v>
      </c>
      <c r="F221" s="6">
        <v>0.38791907690061866</v>
      </c>
      <c r="G221" s="6"/>
      <c r="H221" s="6"/>
      <c r="I221" s="6"/>
      <c r="J221" s="6"/>
      <c r="K221" s="7"/>
    </row>
    <row r="222" spans="1:11" x14ac:dyDescent="0.2">
      <c r="A222" s="5">
        <v>2</v>
      </c>
      <c r="B222" s="6">
        <v>500</v>
      </c>
      <c r="C222" s="6">
        <v>20</v>
      </c>
      <c r="D222" s="6">
        <v>25</v>
      </c>
      <c r="E222" s="6">
        <v>42.77980132450331</v>
      </c>
      <c r="F222" s="6">
        <v>0.30983021872605748</v>
      </c>
      <c r="G222" s="6">
        <v>0.3997653512531405</v>
      </c>
      <c r="H222" s="6">
        <v>0.12718748415362252</v>
      </c>
      <c r="I222" s="6"/>
      <c r="J222" s="6"/>
      <c r="K222" s="7"/>
    </row>
    <row r="223" spans="1:11" x14ac:dyDescent="0.2">
      <c r="A223" s="5">
        <v>2</v>
      </c>
      <c r="B223" s="6">
        <v>500</v>
      </c>
      <c r="C223" s="6">
        <v>20</v>
      </c>
      <c r="D223" s="6">
        <v>25</v>
      </c>
      <c r="E223" s="6">
        <v>67.615384615384613</v>
      </c>
      <c r="F223" s="6">
        <v>0.48970048378022352</v>
      </c>
      <c r="G223" s="6"/>
      <c r="H223" s="6"/>
      <c r="I223" s="6"/>
      <c r="J223" s="6"/>
      <c r="K223" s="7"/>
    </row>
    <row r="224" spans="1:11" x14ac:dyDescent="0.2">
      <c r="A224" s="5">
        <v>2</v>
      </c>
      <c r="B224" s="6">
        <v>500</v>
      </c>
      <c r="C224" s="6">
        <v>20</v>
      </c>
      <c r="D224" s="6">
        <v>25</v>
      </c>
      <c r="E224" s="6">
        <v>69.848120300751873</v>
      </c>
      <c r="F224" s="6">
        <v>0.5183858962943152</v>
      </c>
      <c r="G224" s="6">
        <v>0.42284676371305852</v>
      </c>
      <c r="H224" s="6">
        <v>0.13511273703377435</v>
      </c>
      <c r="I224" s="6"/>
      <c r="J224" s="6"/>
      <c r="K224" s="7"/>
    </row>
    <row r="225" spans="1:11" x14ac:dyDescent="0.2">
      <c r="A225" s="8">
        <v>2</v>
      </c>
      <c r="B225" s="9">
        <v>500</v>
      </c>
      <c r="C225" s="9">
        <v>20</v>
      </c>
      <c r="D225" s="9">
        <v>25</v>
      </c>
      <c r="E225" s="9">
        <v>44.10193826274228</v>
      </c>
      <c r="F225" s="9">
        <v>0.32730763113180178</v>
      </c>
      <c r="G225" s="9"/>
      <c r="H225" s="9"/>
      <c r="I225" s="9"/>
      <c r="J225" s="9"/>
      <c r="K225" s="10"/>
    </row>
    <row r="226" spans="1:11" x14ac:dyDescent="0.2">
      <c r="A226" s="11">
        <v>2</v>
      </c>
      <c r="B226" s="3">
        <v>500</v>
      </c>
      <c r="C226" s="3">
        <v>20</v>
      </c>
      <c r="D226" s="3">
        <v>100</v>
      </c>
      <c r="E226" s="3">
        <v>45.621359223300978</v>
      </c>
      <c r="F226" s="3">
        <v>1.1082484459241069</v>
      </c>
      <c r="G226" s="3">
        <v>0.84074521511375533</v>
      </c>
      <c r="H226" s="3">
        <v>0.3783066969906197</v>
      </c>
      <c r="I226" s="3"/>
      <c r="J226" s="3">
        <f>AVERAGE(E226:E233)</f>
        <v>43.236671079663758</v>
      </c>
      <c r="K226" s="12">
        <f t="shared" ref="K226" si="24">AVERAGE(F226:F233)</f>
        <v>0.54425103500766348</v>
      </c>
    </row>
    <row r="227" spans="1:11" x14ac:dyDescent="0.2">
      <c r="A227" s="5">
        <v>2</v>
      </c>
      <c r="B227" s="6">
        <v>500</v>
      </c>
      <c r="C227" s="6">
        <v>20</v>
      </c>
      <c r="D227" s="6">
        <v>100</v>
      </c>
      <c r="E227" s="6">
        <v>23.597667638483966</v>
      </c>
      <c r="F227" s="6">
        <v>0.57324198430340378</v>
      </c>
      <c r="G227" s="6"/>
      <c r="H227" s="6"/>
      <c r="I227" s="6"/>
      <c r="J227" s="6"/>
      <c r="K227" s="7"/>
    </row>
    <row r="228" spans="1:11" x14ac:dyDescent="0.2">
      <c r="A228" s="5">
        <v>2</v>
      </c>
      <c r="B228" s="6">
        <v>500</v>
      </c>
      <c r="C228" s="6">
        <v>20</v>
      </c>
      <c r="D228" s="6">
        <v>100</v>
      </c>
      <c r="E228" s="6">
        <v>17.494866529774132</v>
      </c>
      <c r="F228" s="6">
        <v>0.3757342944294691</v>
      </c>
      <c r="G228" s="6">
        <v>0.48998525703077789</v>
      </c>
      <c r="H228" s="6">
        <v>0.16157526082495219</v>
      </c>
      <c r="I228" s="6"/>
      <c r="J228" s="6"/>
      <c r="K228" s="7"/>
    </row>
    <row r="229" spans="1:11" x14ac:dyDescent="0.2">
      <c r="A229" s="5">
        <v>2</v>
      </c>
      <c r="B229" s="6">
        <v>500</v>
      </c>
      <c r="C229" s="6">
        <v>20</v>
      </c>
      <c r="D229" s="6">
        <v>100</v>
      </c>
      <c r="E229" s="6">
        <v>28.134328358208954</v>
      </c>
      <c r="F229" s="6">
        <v>0.60423621963208674</v>
      </c>
      <c r="G229" s="6"/>
      <c r="H229" s="6"/>
      <c r="I229" s="6"/>
      <c r="J229" s="6"/>
      <c r="K229" s="7"/>
    </row>
    <row r="230" spans="1:11" x14ac:dyDescent="0.2">
      <c r="A230" s="5">
        <v>2</v>
      </c>
      <c r="B230" s="6">
        <v>500</v>
      </c>
      <c r="C230" s="6">
        <v>20</v>
      </c>
      <c r="D230" s="6">
        <v>100</v>
      </c>
      <c r="E230" s="6">
        <v>44.421887390959554</v>
      </c>
      <c r="F230" s="6">
        <v>0.32172293139384023</v>
      </c>
      <c r="G230" s="6">
        <v>0.44829101991379783</v>
      </c>
      <c r="H230" s="6">
        <v>0.17899430734856242</v>
      </c>
      <c r="I230" s="6"/>
      <c r="J230" s="6"/>
      <c r="K230" s="7"/>
    </row>
    <row r="231" spans="1:11" x14ac:dyDescent="0.2">
      <c r="A231" s="5">
        <v>2</v>
      </c>
      <c r="B231" s="6">
        <v>500</v>
      </c>
      <c r="C231" s="6">
        <v>20</v>
      </c>
      <c r="D231" s="6">
        <v>100</v>
      </c>
      <c r="E231" s="6">
        <v>79.373660030627875</v>
      </c>
      <c r="F231" s="6">
        <v>0.57485910843375543</v>
      </c>
      <c r="G231" s="6"/>
      <c r="H231" s="6"/>
      <c r="I231" s="6"/>
      <c r="J231" s="6"/>
      <c r="K231" s="7"/>
    </row>
    <row r="232" spans="1:11" x14ac:dyDescent="0.2">
      <c r="A232" s="5">
        <v>2</v>
      </c>
      <c r="B232" s="6">
        <v>500</v>
      </c>
      <c r="C232" s="6">
        <v>20</v>
      </c>
      <c r="D232" s="6">
        <v>100</v>
      </c>
      <c r="E232" s="6">
        <v>65.271028037383175</v>
      </c>
      <c r="F232" s="6">
        <v>0.48441647714385283</v>
      </c>
      <c r="G232" s="6">
        <v>0.39798264797232286</v>
      </c>
      <c r="H232" s="6">
        <v>0.12223589346221693</v>
      </c>
      <c r="I232" s="6"/>
      <c r="J232" s="6"/>
      <c r="K232" s="7"/>
    </row>
    <row r="233" spans="1:11" x14ac:dyDescent="0.2">
      <c r="A233" s="8">
        <v>2</v>
      </c>
      <c r="B233" s="9">
        <v>500</v>
      </c>
      <c r="C233" s="9">
        <v>20</v>
      </c>
      <c r="D233" s="9">
        <v>100</v>
      </c>
      <c r="E233" s="9">
        <v>41.978571428571421</v>
      </c>
      <c r="F233" s="9">
        <v>0.31154881880079283</v>
      </c>
      <c r="G233" s="9"/>
      <c r="H233" s="9"/>
      <c r="I233" s="9"/>
      <c r="J233" s="9"/>
      <c r="K233" s="10"/>
    </row>
    <row r="234" spans="1:11" x14ac:dyDescent="0.2">
      <c r="A234" s="11">
        <v>2</v>
      </c>
      <c r="B234" s="3">
        <v>500</v>
      </c>
      <c r="C234" s="3">
        <v>20</v>
      </c>
      <c r="D234" s="3">
        <v>200</v>
      </c>
      <c r="E234" s="3">
        <v>38.614385150812062</v>
      </c>
      <c r="F234" s="3">
        <v>0.93803282195602133</v>
      </c>
      <c r="G234" s="3">
        <v>0.87297742239042941</v>
      </c>
      <c r="H234" s="3">
        <v>9.200222837126093E-2</v>
      </c>
      <c r="I234" s="3"/>
      <c r="J234" s="3">
        <f>AVERAGE(E234:E241)</f>
        <v>39.455958966572986</v>
      </c>
      <c r="K234" s="12">
        <f t="shared" ref="K234" si="25">AVERAGE(F234:F241)</f>
        <v>0.53411004525597716</v>
      </c>
    </row>
    <row r="235" spans="1:11" x14ac:dyDescent="0.2">
      <c r="A235" s="5">
        <v>2</v>
      </c>
      <c r="B235" s="6">
        <v>500</v>
      </c>
      <c r="C235" s="6">
        <v>20</v>
      </c>
      <c r="D235" s="6">
        <v>200</v>
      </c>
      <c r="E235" s="6">
        <v>33.258337481333996</v>
      </c>
      <c r="F235" s="6">
        <v>0.80792202282483738</v>
      </c>
      <c r="G235" s="6"/>
      <c r="H235" s="6"/>
      <c r="I235" s="6"/>
      <c r="J235" s="6"/>
      <c r="K235" s="7"/>
    </row>
    <row r="236" spans="1:11" x14ac:dyDescent="0.2">
      <c r="A236" s="5">
        <v>2</v>
      </c>
      <c r="B236" s="6">
        <v>500</v>
      </c>
      <c r="C236" s="6">
        <v>20</v>
      </c>
      <c r="D236" s="6">
        <v>200</v>
      </c>
      <c r="E236" s="6">
        <v>35.92044198895028</v>
      </c>
      <c r="F236" s="6">
        <v>0.77145726738431752</v>
      </c>
      <c r="G236" s="6">
        <v>0.56067414762205936</v>
      </c>
      <c r="H236" s="6">
        <v>0.29809234668709755</v>
      </c>
      <c r="I236" s="6"/>
      <c r="J236" s="6"/>
      <c r="K236" s="7"/>
    </row>
    <row r="237" spans="1:11" x14ac:dyDescent="0.2">
      <c r="A237" s="5">
        <v>2</v>
      </c>
      <c r="B237" s="6">
        <v>500</v>
      </c>
      <c r="C237" s="6">
        <v>20</v>
      </c>
      <c r="D237" s="6">
        <v>200</v>
      </c>
      <c r="E237" s="6">
        <v>16.291557420031463</v>
      </c>
      <c r="F237" s="6">
        <v>0.34989102785980114</v>
      </c>
      <c r="G237" s="6"/>
      <c r="H237" s="6"/>
      <c r="I237" s="6"/>
      <c r="J237" s="6"/>
      <c r="K237" s="7"/>
    </row>
    <row r="238" spans="1:11" x14ac:dyDescent="0.2">
      <c r="A238" s="5">
        <v>2</v>
      </c>
      <c r="B238" s="6">
        <v>500</v>
      </c>
      <c r="C238" s="6">
        <v>20</v>
      </c>
      <c r="D238" s="6">
        <v>200</v>
      </c>
      <c r="E238" s="6">
        <v>15.723966942148762</v>
      </c>
      <c r="F238" s="6">
        <v>0.11387991449452603</v>
      </c>
      <c r="G238" s="6">
        <v>0.32598469919712103</v>
      </c>
      <c r="H238" s="6">
        <v>0.2999614631706351</v>
      </c>
      <c r="I238" s="6"/>
      <c r="J238" s="6"/>
      <c r="K238" s="7"/>
    </row>
    <row r="239" spans="1:11" x14ac:dyDescent="0.2">
      <c r="A239" s="5">
        <v>2</v>
      </c>
      <c r="B239" s="6">
        <v>500</v>
      </c>
      <c r="C239" s="6">
        <v>20</v>
      </c>
      <c r="D239" s="6">
        <v>200</v>
      </c>
      <c r="E239" s="6">
        <v>74.296694850115301</v>
      </c>
      <c r="F239" s="6">
        <v>0.538089483899716</v>
      </c>
      <c r="G239" s="6"/>
      <c r="H239" s="6"/>
      <c r="I239" s="6"/>
      <c r="J239" s="6"/>
      <c r="K239" s="7"/>
    </row>
    <row r="240" spans="1:11" x14ac:dyDescent="0.2">
      <c r="A240" s="5">
        <v>2</v>
      </c>
      <c r="B240" s="6">
        <v>500</v>
      </c>
      <c r="C240" s="6">
        <v>20</v>
      </c>
      <c r="D240" s="6">
        <v>200</v>
      </c>
      <c r="E240" s="6">
        <v>63.915929203539832</v>
      </c>
      <c r="F240" s="6">
        <v>0.47435945455649337</v>
      </c>
      <c r="G240" s="6">
        <v>0.37680391181429851</v>
      </c>
      <c r="H240" s="6">
        <v>0.13796437163067984</v>
      </c>
      <c r="I240" s="6"/>
      <c r="J240" s="6"/>
      <c r="K240" s="7"/>
    </row>
    <row r="241" spans="1:11" x14ac:dyDescent="0.2">
      <c r="A241" s="8">
        <v>2</v>
      </c>
      <c r="B241" s="9">
        <v>500</v>
      </c>
      <c r="C241" s="9">
        <v>20</v>
      </c>
      <c r="D241" s="9">
        <v>200</v>
      </c>
      <c r="E241" s="9">
        <v>37.626358695652172</v>
      </c>
      <c r="F241" s="9">
        <v>0.2792483690721036</v>
      </c>
      <c r="G241" s="9"/>
      <c r="H241" s="9"/>
      <c r="I241" s="9"/>
      <c r="J241" s="9"/>
      <c r="K241" s="10"/>
    </row>
    <row r="242" spans="1:11" x14ac:dyDescent="0.2">
      <c r="A242" s="11">
        <v>10</v>
      </c>
      <c r="B242" s="3">
        <v>50</v>
      </c>
      <c r="C242" s="3">
        <v>2</v>
      </c>
      <c r="D242" s="3">
        <v>25</v>
      </c>
      <c r="E242" s="3">
        <v>11.222789919525624</v>
      </c>
      <c r="F242" s="3">
        <v>0.24218618236744643</v>
      </c>
      <c r="G242" s="3">
        <v>0.26701357170239925</v>
      </c>
      <c r="H242" s="3">
        <v>3.5111230715807379E-2</v>
      </c>
      <c r="I242" s="3"/>
      <c r="J242" s="3">
        <f>AVERAGE(E242:E249)</f>
        <v>17.83900174225359</v>
      </c>
      <c r="K242" s="12">
        <f t="shared" ref="K242" si="26">AVERAGE(F242:F249)</f>
        <v>0.2704463842479542</v>
      </c>
    </row>
    <row r="243" spans="1:11" x14ac:dyDescent="0.2">
      <c r="A243" s="5">
        <v>10</v>
      </c>
      <c r="B243" s="6">
        <v>50</v>
      </c>
      <c r="C243" s="6">
        <v>2</v>
      </c>
      <c r="D243" s="6">
        <v>25</v>
      </c>
      <c r="E243" s="6">
        <v>13.523768216740805</v>
      </c>
      <c r="F243" s="6">
        <v>0.29184096103735202</v>
      </c>
      <c r="G243" s="6"/>
      <c r="H243" s="6"/>
      <c r="I243" s="6"/>
      <c r="J243" s="6"/>
      <c r="K243" s="7"/>
    </row>
    <row r="244" spans="1:11" x14ac:dyDescent="0.2">
      <c r="A244" s="5">
        <v>10</v>
      </c>
      <c r="B244" s="6">
        <v>50</v>
      </c>
      <c r="C244" s="6">
        <v>2</v>
      </c>
      <c r="D244" s="6">
        <v>25</v>
      </c>
      <c r="E244" s="6">
        <v>18.15111111111111</v>
      </c>
      <c r="F244" s="6">
        <v>0.51032831045031024</v>
      </c>
      <c r="G244" s="6">
        <v>0.51032831045031024</v>
      </c>
      <c r="H244" s="6"/>
      <c r="I244" s="6"/>
      <c r="J244" s="6"/>
      <c r="K244" s="7"/>
    </row>
    <row r="245" spans="1:11" x14ac:dyDescent="0.2">
      <c r="A245" s="5">
        <v>10</v>
      </c>
      <c r="B245" s="6">
        <v>50</v>
      </c>
      <c r="C245" s="6">
        <v>2</v>
      </c>
      <c r="D245" s="6">
        <v>25</v>
      </c>
      <c r="E245" s="6"/>
      <c r="F245" s="6"/>
      <c r="G245" s="6"/>
      <c r="H245" s="6"/>
      <c r="I245" s="6"/>
      <c r="J245" s="6"/>
      <c r="K245" s="7"/>
    </row>
    <row r="246" spans="1:11" x14ac:dyDescent="0.2">
      <c r="A246" s="5">
        <v>10</v>
      </c>
      <c r="B246" s="6">
        <v>50</v>
      </c>
      <c r="C246" s="6">
        <v>2</v>
      </c>
      <c r="D246" s="6">
        <v>25</v>
      </c>
      <c r="E246" s="6">
        <v>19.120461095100865</v>
      </c>
      <c r="F246" s="6">
        <v>0.21968125172413178</v>
      </c>
      <c r="G246" s="6">
        <v>0.21968125172413178</v>
      </c>
      <c r="H246" s="6"/>
      <c r="I246" s="6"/>
      <c r="J246" s="6"/>
      <c r="K246" s="7"/>
    </row>
    <row r="247" spans="1:11" x14ac:dyDescent="0.2">
      <c r="A247" s="5">
        <v>10</v>
      </c>
      <c r="B247" s="6">
        <v>50</v>
      </c>
      <c r="C247" s="6">
        <v>2</v>
      </c>
      <c r="D247" s="6">
        <v>25</v>
      </c>
      <c r="E247" s="6"/>
      <c r="F247" s="6"/>
      <c r="G247" s="6"/>
      <c r="H247" s="6"/>
      <c r="I247" s="6"/>
      <c r="J247" s="6"/>
      <c r="K247" s="7"/>
    </row>
    <row r="248" spans="1:11" x14ac:dyDescent="0.2">
      <c r="A248" s="5">
        <v>10</v>
      </c>
      <c r="B248" s="6">
        <v>50</v>
      </c>
      <c r="C248" s="6">
        <v>2</v>
      </c>
      <c r="D248" s="6">
        <v>25</v>
      </c>
      <c r="E248" s="6">
        <v>33.962264150943398</v>
      </c>
      <c r="F248" s="6">
        <v>0.27057742115811451</v>
      </c>
      <c r="G248" s="6">
        <v>0.17932079995424233</v>
      </c>
      <c r="H248" s="6">
        <v>0.12905635136286014</v>
      </c>
      <c r="I248" s="6"/>
      <c r="J248" s="6"/>
      <c r="K248" s="7"/>
    </row>
    <row r="249" spans="1:11" x14ac:dyDescent="0.2">
      <c r="A249" s="8">
        <v>10</v>
      </c>
      <c r="B249" s="9">
        <v>50</v>
      </c>
      <c r="C249" s="9">
        <v>2</v>
      </c>
      <c r="D249" s="9">
        <v>25</v>
      </c>
      <c r="E249" s="9">
        <v>11.053615960099751</v>
      </c>
      <c r="F249" s="9">
        <v>8.806417875037012E-2</v>
      </c>
      <c r="G249" s="9"/>
      <c r="H249" s="9"/>
      <c r="I249" s="9"/>
      <c r="J249" s="9"/>
      <c r="K249" s="10"/>
    </row>
    <row r="250" spans="1:11" x14ac:dyDescent="0.2">
      <c r="A250" s="11">
        <v>10</v>
      </c>
      <c r="B250" s="3">
        <v>50</v>
      </c>
      <c r="C250" s="3">
        <v>2</v>
      </c>
      <c r="D250" s="3">
        <v>100</v>
      </c>
      <c r="E250" s="3">
        <v>13.748396264367816</v>
      </c>
      <c r="F250" s="3">
        <v>0.2966884017982977</v>
      </c>
      <c r="G250" s="3">
        <v>0.32186729566425437</v>
      </c>
      <c r="H250" s="3">
        <v>3.5608333190788662E-2</v>
      </c>
      <c r="I250" s="3"/>
      <c r="J250" s="3">
        <f>AVERAGE(E250:E257)</f>
        <v>12.132762397651463</v>
      </c>
      <c r="K250" s="12">
        <f t="shared" ref="K250" si="27">AVERAGE(F250:F257)</f>
        <v>0.19520440759295676</v>
      </c>
    </row>
    <row r="251" spans="1:11" x14ac:dyDescent="0.2">
      <c r="A251" s="5">
        <v>10</v>
      </c>
      <c r="B251" s="6">
        <v>50</v>
      </c>
      <c r="C251" s="6">
        <v>2</v>
      </c>
      <c r="D251" s="6">
        <v>100</v>
      </c>
      <c r="E251" s="6">
        <v>16.081951659654042</v>
      </c>
      <c r="F251" s="6">
        <v>0.34704618953021105</v>
      </c>
      <c r="G251" s="6"/>
      <c r="H251" s="6"/>
      <c r="I251" s="6"/>
      <c r="J251" s="6"/>
      <c r="K251" s="7"/>
    </row>
    <row r="252" spans="1:11" x14ac:dyDescent="0.2">
      <c r="A252" s="5">
        <v>10</v>
      </c>
      <c r="B252" s="6">
        <v>50</v>
      </c>
      <c r="C252" s="6">
        <v>2</v>
      </c>
      <c r="D252" s="6">
        <v>100</v>
      </c>
      <c r="E252" s="6">
        <v>7.4339419978517718</v>
      </c>
      <c r="F252" s="6">
        <v>0.20900930177365137</v>
      </c>
      <c r="G252" s="6">
        <v>0.20900930177365137</v>
      </c>
      <c r="H252" s="6"/>
      <c r="I252" s="6"/>
      <c r="J252" s="6"/>
      <c r="K252" s="7"/>
    </row>
    <row r="253" spans="1:11" x14ac:dyDescent="0.2">
      <c r="A253" s="5">
        <v>10</v>
      </c>
      <c r="B253" s="6">
        <v>50</v>
      </c>
      <c r="C253" s="6">
        <v>2</v>
      </c>
      <c r="D253" s="6">
        <v>100</v>
      </c>
      <c r="E253" s="6"/>
      <c r="F253" s="6"/>
      <c r="G253" s="6"/>
      <c r="H253" s="6"/>
      <c r="I253" s="6"/>
      <c r="J253" s="6"/>
      <c r="K253" s="7"/>
    </row>
    <row r="254" spans="1:11" x14ac:dyDescent="0.2">
      <c r="A254" s="5">
        <v>10</v>
      </c>
      <c r="B254" s="6">
        <v>50</v>
      </c>
      <c r="C254" s="6">
        <v>2</v>
      </c>
      <c r="D254" s="6">
        <v>100</v>
      </c>
      <c r="E254" s="6">
        <v>10.049261083743842</v>
      </c>
      <c r="F254" s="6">
        <v>0.11545925816324078</v>
      </c>
      <c r="G254" s="6">
        <v>0.11545925816324078</v>
      </c>
      <c r="H254" s="6"/>
      <c r="I254" s="6"/>
      <c r="J254" s="6"/>
      <c r="K254" s="7"/>
    </row>
    <row r="255" spans="1:11" x14ac:dyDescent="0.2">
      <c r="A255" s="5">
        <v>10</v>
      </c>
      <c r="B255" s="6">
        <v>50</v>
      </c>
      <c r="C255" s="6">
        <v>2</v>
      </c>
      <c r="D255" s="6">
        <v>100</v>
      </c>
      <c r="E255" s="6"/>
      <c r="F255" s="6"/>
      <c r="G255" s="6"/>
      <c r="H255" s="6"/>
      <c r="I255" s="6"/>
      <c r="J255" s="6"/>
      <c r="K255" s="7"/>
    </row>
    <row r="256" spans="1:11" x14ac:dyDescent="0.2">
      <c r="A256" s="5">
        <v>10</v>
      </c>
      <c r="B256" s="6">
        <v>50</v>
      </c>
      <c r="C256" s="6">
        <v>2</v>
      </c>
      <c r="D256" s="6">
        <v>100</v>
      </c>
      <c r="E256" s="6">
        <v>12.140063091482649</v>
      </c>
      <c r="F256" s="6">
        <v>9.6719905050822022E-2</v>
      </c>
      <c r="G256" s="6">
        <v>0.10151164714616986</v>
      </c>
      <c r="H256" s="6">
        <v>6.7765466586350003E-3</v>
      </c>
      <c r="I256" s="6"/>
      <c r="J256" s="6"/>
      <c r="K256" s="7"/>
    </row>
    <row r="257" spans="1:11" x14ac:dyDescent="0.2">
      <c r="A257" s="8">
        <v>10</v>
      </c>
      <c r="B257" s="9">
        <v>50</v>
      </c>
      <c r="C257" s="9">
        <v>2</v>
      </c>
      <c r="D257" s="9">
        <v>100</v>
      </c>
      <c r="E257" s="9">
        <v>13.342960288808666</v>
      </c>
      <c r="F257" s="9">
        <v>0.10630338924151772</v>
      </c>
      <c r="G257" s="9"/>
      <c r="H257" s="9"/>
      <c r="I257" s="9"/>
      <c r="J257" s="9"/>
      <c r="K257" s="10"/>
    </row>
    <row r="258" spans="1:11" x14ac:dyDescent="0.2">
      <c r="A258" s="11">
        <v>10</v>
      </c>
      <c r="B258" s="3">
        <v>50</v>
      </c>
      <c r="C258" s="3">
        <v>2</v>
      </c>
      <c r="D258" s="3">
        <v>200</v>
      </c>
      <c r="E258" s="3">
        <v>3.6124889457959877</v>
      </c>
      <c r="F258" s="3">
        <v>7.7956988672199287E-2</v>
      </c>
      <c r="G258" s="3">
        <v>0.18928600228834611</v>
      </c>
      <c r="H258" s="3">
        <v>0.15744300094157379</v>
      </c>
      <c r="I258" s="3"/>
      <c r="J258" s="3">
        <f>AVERAGE(E258:E265)</f>
        <v>12.117421511915012</v>
      </c>
      <c r="K258" s="12">
        <f t="shared" ref="K258" si="28">AVERAGE(F258:F265)</f>
        <v>0.19376273647465406</v>
      </c>
    </row>
    <row r="259" spans="1:11" x14ac:dyDescent="0.2">
      <c r="A259" s="5">
        <v>10</v>
      </c>
      <c r="B259" s="6">
        <v>50</v>
      </c>
      <c r="C259" s="6">
        <v>2</v>
      </c>
      <c r="D259" s="6">
        <v>200</v>
      </c>
      <c r="E259" s="6">
        <v>13.930353652597402</v>
      </c>
      <c r="F259" s="6">
        <v>0.30061501590449291</v>
      </c>
      <c r="G259" s="6"/>
      <c r="H259" s="6"/>
      <c r="I259" s="6"/>
      <c r="J259" s="6"/>
      <c r="K259" s="7"/>
    </row>
    <row r="260" spans="1:11" x14ac:dyDescent="0.2">
      <c r="A260" s="5">
        <v>10</v>
      </c>
      <c r="B260" s="6">
        <v>50</v>
      </c>
      <c r="C260" s="6">
        <v>2</v>
      </c>
      <c r="D260" s="6">
        <v>200</v>
      </c>
      <c r="E260" s="6">
        <v>14.110935023771791</v>
      </c>
      <c r="F260" s="6">
        <v>0.39673657361655301</v>
      </c>
      <c r="G260" s="6">
        <v>0.39673657361655301</v>
      </c>
      <c r="H260" s="6"/>
      <c r="I260" s="6"/>
      <c r="J260" s="6"/>
      <c r="K260" s="7"/>
    </row>
    <row r="261" spans="1:11" x14ac:dyDescent="0.2">
      <c r="A261" s="5">
        <v>10</v>
      </c>
      <c r="B261" s="6">
        <v>50</v>
      </c>
      <c r="C261" s="6">
        <v>2</v>
      </c>
      <c r="D261" s="6">
        <v>200</v>
      </c>
      <c r="E261" s="6"/>
      <c r="F261" s="6"/>
      <c r="G261" s="6"/>
      <c r="H261" s="6"/>
      <c r="I261" s="6"/>
      <c r="J261" s="6"/>
      <c r="K261" s="7"/>
    </row>
    <row r="262" spans="1:11" x14ac:dyDescent="0.2">
      <c r="A262" s="5">
        <v>10</v>
      </c>
      <c r="B262" s="6">
        <v>50</v>
      </c>
      <c r="C262" s="6">
        <v>2</v>
      </c>
      <c r="D262" s="6">
        <v>200</v>
      </c>
      <c r="E262" s="6">
        <v>17.095641646489103</v>
      </c>
      <c r="F262" s="6">
        <v>0.19641743665325093</v>
      </c>
      <c r="G262" s="6">
        <v>0.19641743665325093</v>
      </c>
      <c r="H262" s="6"/>
      <c r="I262" s="6"/>
      <c r="J262" s="6"/>
      <c r="K262" s="7"/>
    </row>
    <row r="263" spans="1:11" x14ac:dyDescent="0.2">
      <c r="A263" s="5">
        <v>10</v>
      </c>
      <c r="B263" s="6">
        <v>50</v>
      </c>
      <c r="C263" s="6">
        <v>2</v>
      </c>
      <c r="D263" s="6">
        <v>200</v>
      </c>
      <c r="E263" s="6"/>
      <c r="F263" s="6"/>
      <c r="G263" s="6"/>
      <c r="H263" s="6"/>
      <c r="I263" s="6"/>
      <c r="J263" s="6"/>
      <c r="K263" s="7"/>
    </row>
    <row r="264" spans="1:11" x14ac:dyDescent="0.2">
      <c r="A264" s="5">
        <v>10</v>
      </c>
      <c r="B264" s="6">
        <v>50</v>
      </c>
      <c r="C264" s="6">
        <v>2</v>
      </c>
      <c r="D264" s="6">
        <v>200</v>
      </c>
      <c r="E264" s="6">
        <v>12.785276073619633</v>
      </c>
      <c r="F264" s="6">
        <v>0.10186031807006156</v>
      </c>
      <c r="G264" s="6">
        <v>9.5425202000714193E-2</v>
      </c>
      <c r="H264" s="6">
        <v>9.1006284207160865E-3</v>
      </c>
      <c r="I264" s="6"/>
      <c r="J264" s="6"/>
      <c r="K264" s="7"/>
    </row>
    <row r="265" spans="1:11" x14ac:dyDescent="0.2">
      <c r="A265" s="8">
        <v>10</v>
      </c>
      <c r="B265" s="9">
        <v>50</v>
      </c>
      <c r="C265" s="9">
        <v>2</v>
      </c>
      <c r="D265" s="9">
        <v>200</v>
      </c>
      <c r="E265" s="9">
        <v>11.169833729216155</v>
      </c>
      <c r="F265" s="9">
        <v>8.8990085931366827E-2</v>
      </c>
      <c r="G265" s="9"/>
      <c r="H265" s="9"/>
      <c r="I265" s="9"/>
      <c r="J265" s="9"/>
      <c r="K265" s="10"/>
    </row>
    <row r="266" spans="1:11" x14ac:dyDescent="0.2">
      <c r="A266" s="11">
        <v>10</v>
      </c>
      <c r="B266" s="3">
        <v>50</v>
      </c>
      <c r="C266" s="3">
        <v>5</v>
      </c>
      <c r="D266" s="3">
        <v>25</v>
      </c>
      <c r="E266" s="3"/>
      <c r="F266" s="3"/>
      <c r="G266" s="3"/>
      <c r="H266" s="3"/>
      <c r="I266" s="3"/>
      <c r="J266" s="3">
        <f>AVERAGE(E266:E273)</f>
        <v>17.014004232131949</v>
      </c>
      <c r="K266" s="12">
        <f t="shared" ref="K266" si="29">AVERAGE(F266:F273)</f>
        <v>0.31128077830724049</v>
      </c>
    </row>
    <row r="267" spans="1:11" x14ac:dyDescent="0.2">
      <c r="A267" s="5">
        <v>10</v>
      </c>
      <c r="B267" s="6">
        <v>50</v>
      </c>
      <c r="C267" s="6">
        <v>5</v>
      </c>
      <c r="D267" s="6">
        <v>25</v>
      </c>
      <c r="E267" s="6">
        <v>13.739010989010991</v>
      </c>
      <c r="F267" s="6">
        <v>0.31594817176139184</v>
      </c>
      <c r="G267" s="6"/>
      <c r="H267" s="6"/>
      <c r="I267" s="6"/>
      <c r="J267" s="6"/>
      <c r="K267" s="7"/>
    </row>
    <row r="268" spans="1:11" x14ac:dyDescent="0.2">
      <c r="A268" s="5">
        <v>10</v>
      </c>
      <c r="B268" s="6">
        <v>50</v>
      </c>
      <c r="C268" s="6">
        <v>5</v>
      </c>
      <c r="D268" s="6">
        <v>25</v>
      </c>
      <c r="E268" s="6">
        <v>29.32450331125828</v>
      </c>
      <c r="F268" s="6">
        <v>0.66772477957532239</v>
      </c>
      <c r="G268" s="6">
        <v>0.66772477957532239</v>
      </c>
      <c r="H268" s="6"/>
      <c r="I268" s="6"/>
      <c r="J268" s="6"/>
      <c r="K268" s="7"/>
    </row>
    <row r="269" spans="1:11" x14ac:dyDescent="0.2">
      <c r="A269" s="5">
        <v>10</v>
      </c>
      <c r="B269" s="6">
        <v>50</v>
      </c>
      <c r="C269" s="6">
        <v>5</v>
      </c>
      <c r="D269" s="6">
        <v>25</v>
      </c>
      <c r="E269" s="6"/>
      <c r="F269" s="6"/>
      <c r="G269" s="6"/>
      <c r="H269" s="6"/>
      <c r="I269" s="6"/>
      <c r="J269" s="6"/>
      <c r="K269" s="7"/>
    </row>
    <row r="270" spans="1:11" x14ac:dyDescent="0.2">
      <c r="A270" s="5">
        <v>10</v>
      </c>
      <c r="B270" s="6">
        <v>50</v>
      </c>
      <c r="C270" s="6">
        <v>5</v>
      </c>
      <c r="D270" s="6">
        <v>25</v>
      </c>
      <c r="E270" s="6">
        <v>11.94704808277541</v>
      </c>
      <c r="F270" s="6">
        <v>0.31297264058751995</v>
      </c>
      <c r="G270" s="6">
        <v>0.29787827046345883</v>
      </c>
      <c r="H270" s="6">
        <v>2.1346662944926452E-2</v>
      </c>
      <c r="I270" s="6"/>
      <c r="J270" s="6"/>
      <c r="K270" s="7"/>
    </row>
    <row r="271" spans="1:11" x14ac:dyDescent="0.2">
      <c r="A271" s="5">
        <v>10</v>
      </c>
      <c r="B271" s="6">
        <v>50</v>
      </c>
      <c r="C271" s="6">
        <v>5</v>
      </c>
      <c r="D271" s="6">
        <v>25</v>
      </c>
      <c r="E271" s="6">
        <v>10.794658753709198</v>
      </c>
      <c r="F271" s="6">
        <v>0.28278390033939776</v>
      </c>
      <c r="G271" s="6"/>
      <c r="H271" s="6"/>
      <c r="I271" s="6"/>
      <c r="J271" s="6"/>
      <c r="K271" s="7"/>
    </row>
    <row r="272" spans="1:11" x14ac:dyDescent="0.2">
      <c r="A272" s="5">
        <v>10</v>
      </c>
      <c r="B272" s="6">
        <v>50</v>
      </c>
      <c r="C272" s="6">
        <v>5</v>
      </c>
      <c r="D272" s="6">
        <v>25</v>
      </c>
      <c r="E272" s="6">
        <v>18.090322580645157</v>
      </c>
      <c r="F272" s="6">
        <v>0.14373762462394471</v>
      </c>
      <c r="G272" s="6">
        <v>0.14412758878990545</v>
      </c>
      <c r="H272" s="6">
        <v>5.5149261234120747E-4</v>
      </c>
      <c r="I272" s="6"/>
      <c r="J272" s="6"/>
      <c r="K272" s="7"/>
    </row>
    <row r="273" spans="1:11" x14ac:dyDescent="0.2">
      <c r="A273" s="8">
        <v>10</v>
      </c>
      <c r="B273" s="9">
        <v>50</v>
      </c>
      <c r="C273" s="9">
        <v>5</v>
      </c>
      <c r="D273" s="9">
        <v>25</v>
      </c>
      <c r="E273" s="9">
        <v>18.188481675392669</v>
      </c>
      <c r="F273" s="9">
        <v>0.14451755295586621</v>
      </c>
      <c r="G273" s="9"/>
      <c r="H273" s="9"/>
      <c r="I273" s="9"/>
      <c r="J273" s="9"/>
      <c r="K273" s="10"/>
    </row>
    <row r="274" spans="1:11" x14ac:dyDescent="0.2">
      <c r="A274" s="11">
        <v>10</v>
      </c>
      <c r="B274" s="3">
        <v>50</v>
      </c>
      <c r="C274" s="3">
        <v>5</v>
      </c>
      <c r="D274" s="3">
        <v>100</v>
      </c>
      <c r="E274" s="3"/>
      <c r="F274" s="3"/>
      <c r="G274" s="3"/>
      <c r="H274" s="3"/>
      <c r="I274" s="3"/>
      <c r="J274" s="3">
        <f>AVERAGE(E274:E281)</f>
        <v>16.045522554678382</v>
      </c>
      <c r="K274" s="12">
        <f t="shared" ref="K274" si="30">AVERAGE(F274:F281)</f>
        <v>0.3003019764198826</v>
      </c>
    </row>
    <row r="275" spans="1:11" x14ac:dyDescent="0.2">
      <c r="A275" s="5">
        <v>10</v>
      </c>
      <c r="B275" s="6">
        <v>50</v>
      </c>
      <c r="C275" s="6">
        <v>5</v>
      </c>
      <c r="D275" s="6">
        <v>100</v>
      </c>
      <c r="E275" s="6">
        <v>11.967927631578949</v>
      </c>
      <c r="F275" s="6">
        <v>0.27521958152551179</v>
      </c>
      <c r="G275" s="6"/>
      <c r="H275" s="6"/>
      <c r="I275" s="6"/>
      <c r="J275" s="6"/>
      <c r="K275" s="7"/>
    </row>
    <row r="276" spans="1:11" x14ac:dyDescent="0.2">
      <c r="A276" s="5">
        <v>10</v>
      </c>
      <c r="B276" s="6">
        <v>50</v>
      </c>
      <c r="C276" s="6">
        <v>5</v>
      </c>
      <c r="D276" s="6">
        <v>100</v>
      </c>
      <c r="E276" s="6">
        <v>29.371502927781393</v>
      </c>
      <c r="F276" s="6">
        <v>0.66879497020225009</v>
      </c>
      <c r="G276" s="6">
        <v>0.66879497020225009</v>
      </c>
      <c r="H276" s="6"/>
      <c r="I276" s="6"/>
      <c r="J276" s="6"/>
      <c r="K276" s="7"/>
    </row>
    <row r="277" spans="1:11" x14ac:dyDescent="0.2">
      <c r="A277" s="5">
        <v>10</v>
      </c>
      <c r="B277" s="6">
        <v>50</v>
      </c>
      <c r="C277" s="6">
        <v>5</v>
      </c>
      <c r="D277" s="6">
        <v>100</v>
      </c>
      <c r="E277" s="6"/>
      <c r="F277" s="6"/>
      <c r="G277" s="6"/>
      <c r="H277" s="6"/>
      <c r="I277" s="6"/>
      <c r="J277" s="6"/>
      <c r="K277" s="7"/>
    </row>
    <row r="278" spans="1:11" x14ac:dyDescent="0.2">
      <c r="A278" s="5">
        <v>10</v>
      </c>
      <c r="B278" s="6">
        <v>50</v>
      </c>
      <c r="C278" s="6">
        <v>5</v>
      </c>
      <c r="D278" s="6">
        <v>100</v>
      </c>
      <c r="E278" s="6">
        <v>11.878915662650602</v>
      </c>
      <c r="F278" s="6">
        <v>0.31118779940429725</v>
      </c>
      <c r="G278" s="6">
        <v>0.3023691300838337</v>
      </c>
      <c r="H278" s="6">
        <v>1.2471481755083112E-2</v>
      </c>
      <c r="I278" s="6"/>
      <c r="J278" s="6"/>
      <c r="K278" s="7"/>
    </row>
    <row r="279" spans="1:11" x14ac:dyDescent="0.2">
      <c r="A279" s="5">
        <v>10</v>
      </c>
      <c r="B279" s="6">
        <v>50</v>
      </c>
      <c r="C279" s="6">
        <v>5</v>
      </c>
      <c r="D279" s="6">
        <v>100</v>
      </c>
      <c r="E279" s="6">
        <v>11.205648720211826</v>
      </c>
      <c r="F279" s="6">
        <v>0.2935504607633701</v>
      </c>
      <c r="G279" s="6"/>
      <c r="H279" s="6"/>
      <c r="I279" s="6"/>
      <c r="J279" s="6"/>
      <c r="K279" s="7"/>
    </row>
    <row r="280" spans="1:11" x14ac:dyDescent="0.2">
      <c r="A280" s="5">
        <v>10</v>
      </c>
      <c r="B280" s="6">
        <v>50</v>
      </c>
      <c r="C280" s="6">
        <v>5</v>
      </c>
      <c r="D280" s="6">
        <v>100</v>
      </c>
      <c r="E280" s="6">
        <v>17.852272727272727</v>
      </c>
      <c r="F280" s="6">
        <v>0.14184618679505603</v>
      </c>
      <c r="G280" s="6">
        <v>0.12652952331193323</v>
      </c>
      <c r="H280" s="6">
        <v>2.1661033228137058E-2</v>
      </c>
      <c r="I280" s="6"/>
      <c r="J280" s="6"/>
      <c r="K280" s="7"/>
    </row>
    <row r="281" spans="1:11" x14ac:dyDescent="0.2">
      <c r="A281" s="8">
        <v>10</v>
      </c>
      <c r="B281" s="9">
        <v>50</v>
      </c>
      <c r="C281" s="9">
        <v>5</v>
      </c>
      <c r="D281" s="9">
        <v>100</v>
      </c>
      <c r="E281" s="9">
        <v>13.996867658574784</v>
      </c>
      <c r="F281" s="9">
        <v>0.11121285982881045</v>
      </c>
      <c r="G281" s="9"/>
      <c r="H281" s="9"/>
      <c r="I281" s="9"/>
      <c r="J281" s="9"/>
      <c r="K281" s="10"/>
    </row>
    <row r="282" spans="1:11" x14ac:dyDescent="0.2">
      <c r="A282" s="11">
        <v>10</v>
      </c>
      <c r="B282" s="3">
        <v>50</v>
      </c>
      <c r="C282" s="3">
        <v>5</v>
      </c>
      <c r="D282" s="3">
        <v>200</v>
      </c>
      <c r="E282" s="3"/>
      <c r="F282" s="3"/>
      <c r="G282" s="3"/>
      <c r="H282" s="3"/>
      <c r="I282" s="3"/>
      <c r="J282" s="3">
        <f>AVERAGE(E282:E289)</f>
        <v>13.226376299363658</v>
      </c>
      <c r="K282" s="12">
        <f t="shared" ref="K282" si="31">AVERAGE(F282:F289)</f>
        <v>0.24051492690466705</v>
      </c>
    </row>
    <row r="283" spans="1:11" x14ac:dyDescent="0.2">
      <c r="A283" s="5">
        <v>10</v>
      </c>
      <c r="B283" s="6">
        <v>50</v>
      </c>
      <c r="C283" s="6">
        <v>5</v>
      </c>
      <c r="D283" s="6">
        <v>200</v>
      </c>
      <c r="E283" s="6">
        <v>11.142857142857142</v>
      </c>
      <c r="F283" s="6">
        <v>0.25624590775129075</v>
      </c>
      <c r="G283" s="6"/>
      <c r="H283" s="6"/>
      <c r="I283" s="6"/>
      <c r="J283" s="6"/>
      <c r="K283" s="7"/>
    </row>
    <row r="284" spans="1:11" x14ac:dyDescent="0.2">
      <c r="A284" s="5">
        <v>10</v>
      </c>
      <c r="B284" s="6">
        <v>50</v>
      </c>
      <c r="C284" s="6">
        <v>5</v>
      </c>
      <c r="D284" s="6">
        <v>200</v>
      </c>
      <c r="E284" s="6">
        <v>12.771526980482205</v>
      </c>
      <c r="F284" s="6">
        <v>0.29081021244812494</v>
      </c>
      <c r="G284" s="6">
        <v>0.29081021244812494</v>
      </c>
      <c r="H284" s="6"/>
      <c r="I284" s="6"/>
      <c r="J284" s="6"/>
      <c r="K284" s="7"/>
    </row>
    <row r="285" spans="1:11" x14ac:dyDescent="0.2">
      <c r="A285" s="5">
        <v>10</v>
      </c>
      <c r="B285" s="6">
        <v>50</v>
      </c>
      <c r="C285" s="6">
        <v>5</v>
      </c>
      <c r="D285" s="6">
        <v>200</v>
      </c>
      <c r="E285" s="6"/>
      <c r="F285" s="6"/>
      <c r="G285" s="6"/>
      <c r="H285" s="6"/>
      <c r="I285" s="6"/>
      <c r="J285" s="6"/>
      <c r="K285" s="7"/>
    </row>
    <row r="286" spans="1:11" x14ac:dyDescent="0.2">
      <c r="A286" s="5">
        <v>10</v>
      </c>
      <c r="B286" s="6">
        <v>50</v>
      </c>
      <c r="C286" s="6">
        <v>5</v>
      </c>
      <c r="D286" s="6">
        <v>200</v>
      </c>
      <c r="E286" s="6">
        <v>11.988668555240793</v>
      </c>
      <c r="F286" s="6">
        <v>0.31406295754947905</v>
      </c>
      <c r="G286" s="6">
        <v>0.32690104126677566</v>
      </c>
      <c r="H286" s="6">
        <v>1.8155792107882027E-2</v>
      </c>
      <c r="I286" s="6"/>
      <c r="J286" s="6"/>
      <c r="K286" s="7"/>
    </row>
    <row r="287" spans="1:11" x14ac:dyDescent="0.2">
      <c r="A287" s="5">
        <v>10</v>
      </c>
      <c r="B287" s="6">
        <v>50</v>
      </c>
      <c r="C287" s="6">
        <v>5</v>
      </c>
      <c r="D287" s="6">
        <v>200</v>
      </c>
      <c r="E287" s="6">
        <v>12.968800257317465</v>
      </c>
      <c r="F287" s="6">
        <v>0.33973912498407222</v>
      </c>
      <c r="G287" s="6"/>
      <c r="H287" s="6"/>
      <c r="I287" s="6"/>
      <c r="J287" s="6"/>
      <c r="K287" s="7"/>
    </row>
    <row r="288" spans="1:11" x14ac:dyDescent="0.2">
      <c r="A288" s="5">
        <v>10</v>
      </c>
      <c r="B288" s="6">
        <v>50</v>
      </c>
      <c r="C288" s="6">
        <v>5</v>
      </c>
      <c r="D288" s="6">
        <v>200</v>
      </c>
      <c r="E288" s="6">
        <v>17.845183486238533</v>
      </c>
      <c r="F288" s="6">
        <v>0.14178985885164325</v>
      </c>
      <c r="G288" s="6">
        <v>0.12111567934751764</v>
      </c>
      <c r="H288" s="6">
        <v>2.9237705045670335E-2</v>
      </c>
      <c r="I288" s="6"/>
      <c r="J288" s="6"/>
      <c r="K288" s="7"/>
    </row>
    <row r="289" spans="1:11" x14ac:dyDescent="0.2">
      <c r="A289" s="8">
        <v>10</v>
      </c>
      <c r="B289" s="9">
        <v>50</v>
      </c>
      <c r="C289" s="9">
        <v>5</v>
      </c>
      <c r="D289" s="9">
        <v>200</v>
      </c>
      <c r="E289" s="9">
        <v>12.6412213740458</v>
      </c>
      <c r="F289" s="9">
        <v>0.10044149984339204</v>
      </c>
      <c r="G289" s="9"/>
      <c r="H289" s="9"/>
      <c r="I289" s="9"/>
      <c r="J289" s="9"/>
      <c r="K289" s="10"/>
    </row>
    <row r="290" spans="1:11" x14ac:dyDescent="0.2">
      <c r="A290" s="11">
        <v>10</v>
      </c>
      <c r="B290" s="3">
        <v>50</v>
      </c>
      <c r="C290" s="3">
        <v>20</v>
      </c>
      <c r="D290" s="3">
        <v>25</v>
      </c>
      <c r="E290" s="3">
        <v>20.187393526405454</v>
      </c>
      <c r="F290" s="3">
        <v>0.49039853006989004</v>
      </c>
      <c r="G290" s="3">
        <v>0.57813291131915556</v>
      </c>
      <c r="H290" s="3">
        <v>0.12407515184912267</v>
      </c>
      <c r="I290" s="3"/>
      <c r="J290" s="3">
        <f>AVERAGE(E290:E297)</f>
        <v>18.192451138102925</v>
      </c>
      <c r="K290" s="12">
        <f t="shared" ref="K290" si="32">AVERAGE(F290:F297)</f>
        <v>0.25812408559765898</v>
      </c>
    </row>
    <row r="291" spans="1:11" x14ac:dyDescent="0.2">
      <c r="A291" s="5">
        <v>10</v>
      </c>
      <c r="B291" s="6">
        <v>50</v>
      </c>
      <c r="C291" s="6">
        <v>20</v>
      </c>
      <c r="D291" s="6">
        <v>25</v>
      </c>
      <c r="E291" s="6">
        <v>27.410614525139664</v>
      </c>
      <c r="F291" s="6">
        <v>0.66586729256842103</v>
      </c>
      <c r="G291" s="6"/>
      <c r="H291" s="6"/>
      <c r="I291" s="6"/>
      <c r="J291" s="6"/>
      <c r="K291" s="7"/>
    </row>
    <row r="292" spans="1:11" x14ac:dyDescent="0.2">
      <c r="A292" s="5">
        <v>10</v>
      </c>
      <c r="B292" s="6">
        <v>50</v>
      </c>
      <c r="C292" s="6">
        <v>20</v>
      </c>
      <c r="D292" s="6">
        <v>25</v>
      </c>
      <c r="E292" s="6">
        <v>6.8421052631578947</v>
      </c>
      <c r="F292" s="6">
        <v>0.1469467394386563</v>
      </c>
      <c r="G292" s="6">
        <v>0.14377177903424959</v>
      </c>
      <c r="H292" s="6">
        <v>4.4900720639095316E-3</v>
      </c>
      <c r="I292" s="6"/>
      <c r="J292" s="6"/>
      <c r="K292" s="7"/>
    </row>
    <row r="293" spans="1:11" x14ac:dyDescent="0.2">
      <c r="A293" s="5">
        <v>10</v>
      </c>
      <c r="B293" s="6">
        <v>50</v>
      </c>
      <c r="C293" s="6">
        <v>20</v>
      </c>
      <c r="D293" s="6">
        <v>25</v>
      </c>
      <c r="E293" s="6">
        <v>6.5464414957780459</v>
      </c>
      <c r="F293" s="6">
        <v>0.14059681862984288</v>
      </c>
      <c r="G293" s="6"/>
      <c r="H293" s="6"/>
      <c r="I293" s="6"/>
      <c r="J293" s="6"/>
      <c r="K293" s="7"/>
    </row>
    <row r="294" spans="1:11" x14ac:dyDescent="0.2">
      <c r="A294" s="5">
        <v>10</v>
      </c>
      <c r="B294" s="6">
        <v>50</v>
      </c>
      <c r="C294" s="6">
        <v>20</v>
      </c>
      <c r="D294" s="6">
        <v>25</v>
      </c>
      <c r="E294" s="6">
        <v>16.788321167883211</v>
      </c>
      <c r="F294" s="6">
        <v>0.12158843796474662</v>
      </c>
      <c r="G294" s="6">
        <v>0.12807411750831851</v>
      </c>
      <c r="H294" s="6">
        <v>9.1721359717251028E-3</v>
      </c>
      <c r="I294" s="6"/>
      <c r="J294" s="6"/>
      <c r="K294" s="7"/>
    </row>
    <row r="295" spans="1:11" x14ac:dyDescent="0.2">
      <c r="A295" s="5">
        <v>10</v>
      </c>
      <c r="B295" s="6">
        <v>50</v>
      </c>
      <c r="C295" s="6">
        <v>20</v>
      </c>
      <c r="D295" s="6">
        <v>25</v>
      </c>
      <c r="E295" s="6">
        <v>18.579341317365266</v>
      </c>
      <c r="F295" s="6">
        <v>0.13455979705189039</v>
      </c>
      <c r="G295" s="6"/>
      <c r="H295" s="6"/>
      <c r="I295" s="6"/>
      <c r="J295" s="6"/>
      <c r="K295" s="7"/>
    </row>
    <row r="296" spans="1:11" x14ac:dyDescent="0.2">
      <c r="A296" s="5">
        <v>10</v>
      </c>
      <c r="B296" s="6">
        <v>50</v>
      </c>
      <c r="C296" s="6">
        <v>20</v>
      </c>
      <c r="D296" s="6">
        <v>25</v>
      </c>
      <c r="E296" s="6">
        <v>25.571106094808126</v>
      </c>
      <c r="F296" s="6">
        <v>0.18977891881868503</v>
      </c>
      <c r="G296" s="6">
        <v>0.18251753452891212</v>
      </c>
      <c r="H296" s="6">
        <v>1.0269148144199753E-2</v>
      </c>
      <c r="I296" s="6"/>
      <c r="J296" s="6"/>
      <c r="K296" s="7"/>
    </row>
    <row r="297" spans="1:11" x14ac:dyDescent="0.2">
      <c r="A297" s="8">
        <v>10</v>
      </c>
      <c r="B297" s="9">
        <v>50</v>
      </c>
      <c r="C297" s="9">
        <v>20</v>
      </c>
      <c r="D297" s="9">
        <v>25</v>
      </c>
      <c r="E297" s="9">
        <v>23.614285714285714</v>
      </c>
      <c r="F297" s="9">
        <v>0.17525615023913924</v>
      </c>
      <c r="G297" s="9"/>
      <c r="H297" s="9"/>
      <c r="I297" s="9"/>
      <c r="J297" s="9"/>
      <c r="K297" s="10"/>
    </row>
    <row r="298" spans="1:11" x14ac:dyDescent="0.2">
      <c r="A298" s="11">
        <v>10</v>
      </c>
      <c r="B298" s="3">
        <v>50</v>
      </c>
      <c r="C298" s="3">
        <v>20</v>
      </c>
      <c r="D298" s="3">
        <v>100</v>
      </c>
      <c r="E298" s="3">
        <v>18.275898520084567</v>
      </c>
      <c r="F298" s="3">
        <v>0.44396389054549723</v>
      </c>
      <c r="G298" s="3">
        <v>0.58636667584366697</v>
      </c>
      <c r="H298" s="3">
        <v>0.20138795028837561</v>
      </c>
      <c r="I298" s="3"/>
      <c r="J298" s="3">
        <f>AVERAGE(E298:E305)</f>
        <v>19.931646216223562</v>
      </c>
      <c r="K298" s="12">
        <f t="shared" ref="K298" si="33">AVERAGE(F298:F305)</f>
        <v>0.29385861137974495</v>
      </c>
    </row>
    <row r="299" spans="1:11" x14ac:dyDescent="0.2">
      <c r="A299" s="5">
        <v>10</v>
      </c>
      <c r="B299" s="6">
        <v>50</v>
      </c>
      <c r="C299" s="6">
        <v>20</v>
      </c>
      <c r="D299" s="6">
        <v>100</v>
      </c>
      <c r="E299" s="6">
        <v>30.000000000000007</v>
      </c>
      <c r="F299" s="6">
        <v>0.72876946114183672</v>
      </c>
      <c r="G299" s="6"/>
      <c r="H299" s="6"/>
      <c r="I299" s="6"/>
      <c r="J299" s="6"/>
      <c r="K299" s="7"/>
    </row>
    <row r="300" spans="1:11" x14ac:dyDescent="0.2">
      <c r="A300" s="5">
        <v>10</v>
      </c>
      <c r="B300" s="6">
        <v>50</v>
      </c>
      <c r="C300" s="6">
        <v>20</v>
      </c>
      <c r="D300" s="6">
        <v>100</v>
      </c>
      <c r="E300" s="6">
        <v>12.069810165339865</v>
      </c>
      <c r="F300" s="6">
        <v>0.25922127491818925</v>
      </c>
      <c r="G300" s="6">
        <v>0.27454864424872832</v>
      </c>
      <c r="H300" s="6">
        <v>2.1676173582749786E-2</v>
      </c>
      <c r="I300" s="6"/>
      <c r="J300" s="6"/>
      <c r="K300" s="7"/>
    </row>
    <row r="301" spans="1:11" x14ac:dyDescent="0.2">
      <c r="A301" s="5">
        <v>10</v>
      </c>
      <c r="B301" s="6">
        <v>50</v>
      </c>
      <c r="C301" s="6">
        <v>20</v>
      </c>
      <c r="D301" s="6">
        <v>100</v>
      </c>
      <c r="E301" s="6">
        <v>13.497150094996833</v>
      </c>
      <c r="F301" s="6">
        <v>0.2898760135792674</v>
      </c>
      <c r="G301" s="6"/>
      <c r="H301" s="6"/>
      <c r="I301" s="6"/>
      <c r="J301" s="6"/>
      <c r="K301" s="7"/>
    </row>
    <row r="302" spans="1:11" x14ac:dyDescent="0.2">
      <c r="A302" s="5">
        <v>10</v>
      </c>
      <c r="B302" s="6">
        <v>50</v>
      </c>
      <c r="C302" s="6">
        <v>20</v>
      </c>
      <c r="D302" s="6">
        <v>100</v>
      </c>
      <c r="E302" s="6">
        <v>17.838893409275837</v>
      </c>
      <c r="F302" s="6">
        <v>0.12919714621631495</v>
      </c>
      <c r="G302" s="6">
        <v>0.12790446238069425</v>
      </c>
      <c r="H302" s="6">
        <v>1.8281310121952476E-3</v>
      </c>
      <c r="I302" s="6"/>
      <c r="J302" s="6"/>
      <c r="K302" s="7"/>
    </row>
    <row r="303" spans="1:11" x14ac:dyDescent="0.2">
      <c r="A303" s="5">
        <v>10</v>
      </c>
      <c r="B303" s="6">
        <v>50</v>
      </c>
      <c r="C303" s="6">
        <v>20</v>
      </c>
      <c r="D303" s="6">
        <v>100</v>
      </c>
      <c r="E303" s="6">
        <v>17.481918819188191</v>
      </c>
      <c r="F303" s="6">
        <v>0.12661177854507358</v>
      </c>
      <c r="G303" s="6"/>
      <c r="H303" s="6"/>
      <c r="I303" s="6"/>
      <c r="J303" s="6"/>
      <c r="K303" s="7"/>
    </row>
    <row r="304" spans="1:11" x14ac:dyDescent="0.2">
      <c r="A304" s="5">
        <v>10</v>
      </c>
      <c r="B304" s="6">
        <v>50</v>
      </c>
      <c r="C304" s="6">
        <v>20</v>
      </c>
      <c r="D304" s="6">
        <v>100</v>
      </c>
      <c r="E304" s="6">
        <v>29.881773399014776</v>
      </c>
      <c r="F304" s="6">
        <v>0.22177103434729303</v>
      </c>
      <c r="G304" s="6">
        <v>0.18661466304589014</v>
      </c>
      <c r="H304" s="6">
        <v>4.9718617098268164E-2</v>
      </c>
      <c r="I304" s="6"/>
      <c r="J304" s="6"/>
      <c r="K304" s="7"/>
    </row>
    <row r="305" spans="1:11" x14ac:dyDescent="0.2">
      <c r="A305" s="8">
        <v>10</v>
      </c>
      <c r="B305" s="9">
        <v>50</v>
      </c>
      <c r="C305" s="9">
        <v>20</v>
      </c>
      <c r="D305" s="9">
        <v>100</v>
      </c>
      <c r="E305" s="9">
        <v>20.407725321888414</v>
      </c>
      <c r="F305" s="9">
        <v>0.15145829174448722</v>
      </c>
      <c r="G305" s="9"/>
      <c r="H305" s="9"/>
      <c r="I305" s="9"/>
      <c r="J305" s="9"/>
      <c r="K305" s="10"/>
    </row>
    <row r="306" spans="1:11" x14ac:dyDescent="0.2">
      <c r="A306" s="11">
        <v>10</v>
      </c>
      <c r="B306" s="3">
        <v>50</v>
      </c>
      <c r="C306" s="3">
        <v>20</v>
      </c>
      <c r="D306" s="3">
        <v>200</v>
      </c>
      <c r="E306" s="3">
        <v>17.915844155844155</v>
      </c>
      <c r="F306" s="3">
        <v>0.43521733637852222</v>
      </c>
      <c r="G306" s="3">
        <v>0.65693289995306625</v>
      </c>
      <c r="H306" s="3">
        <v>0.31355315699631436</v>
      </c>
      <c r="I306" s="3"/>
      <c r="J306" s="3">
        <f>AVERAGE(E306:E313)</f>
        <v>22.95459018927674</v>
      </c>
      <c r="K306" s="12">
        <f t="shared" ref="K306" si="34">AVERAGE(F306:F313)</f>
        <v>0.30236993133858159</v>
      </c>
    </row>
    <row r="307" spans="1:11" x14ac:dyDescent="0.2">
      <c r="A307" s="5">
        <v>10</v>
      </c>
      <c r="B307" s="6">
        <v>50</v>
      </c>
      <c r="C307" s="6">
        <v>20</v>
      </c>
      <c r="D307" s="6">
        <v>200</v>
      </c>
      <c r="E307" s="6">
        <v>36.169811320754711</v>
      </c>
      <c r="F307" s="6">
        <v>0.87864846352761028</v>
      </c>
      <c r="G307" s="6"/>
      <c r="H307" s="6"/>
      <c r="I307" s="6"/>
      <c r="J307" s="6"/>
      <c r="K307" s="7"/>
    </row>
    <row r="308" spans="1:11" x14ac:dyDescent="0.2">
      <c r="A308" s="5">
        <v>10</v>
      </c>
      <c r="B308" s="6">
        <v>50</v>
      </c>
      <c r="C308" s="6">
        <v>20</v>
      </c>
      <c r="D308" s="6">
        <v>200</v>
      </c>
      <c r="E308" s="6">
        <v>7.7759249609171457</v>
      </c>
      <c r="F308" s="6">
        <v>0.16700222741078674</v>
      </c>
      <c r="G308" s="6">
        <v>0.12001833491396682</v>
      </c>
      <c r="H308" s="6">
        <v>6.6445257982082243E-2</v>
      </c>
      <c r="I308" s="6"/>
      <c r="J308" s="6"/>
      <c r="K308" s="7"/>
    </row>
    <row r="309" spans="1:11" x14ac:dyDescent="0.2">
      <c r="A309" s="5">
        <v>10</v>
      </c>
      <c r="B309" s="6">
        <v>50</v>
      </c>
      <c r="C309" s="6">
        <v>20</v>
      </c>
      <c r="D309" s="6">
        <v>200</v>
      </c>
      <c r="E309" s="6">
        <v>3.4006153846153846</v>
      </c>
      <c r="F309" s="6">
        <v>7.3034442417146891E-2</v>
      </c>
      <c r="G309" s="6"/>
      <c r="H309" s="6"/>
      <c r="I309" s="6"/>
      <c r="J309" s="6"/>
      <c r="K309" s="7"/>
    </row>
    <row r="310" spans="1:11" x14ac:dyDescent="0.2">
      <c r="A310" s="5">
        <v>10</v>
      </c>
      <c r="B310" s="6">
        <v>50</v>
      </c>
      <c r="C310" s="6">
        <v>20</v>
      </c>
      <c r="D310" s="6">
        <v>200</v>
      </c>
      <c r="E310" s="6">
        <v>57.41789883268482</v>
      </c>
      <c r="F310" s="6">
        <v>0.41584578710822068</v>
      </c>
      <c r="G310" s="6">
        <v>0.27230306487934064</v>
      </c>
      <c r="H310" s="6">
        <v>0.20300006455603611</v>
      </c>
      <c r="I310" s="6"/>
      <c r="J310" s="6"/>
      <c r="K310" s="7"/>
    </row>
    <row r="311" spans="1:11" x14ac:dyDescent="0.2">
      <c r="A311" s="5">
        <v>10</v>
      </c>
      <c r="B311" s="6">
        <v>50</v>
      </c>
      <c r="C311" s="6">
        <v>20</v>
      </c>
      <c r="D311" s="6">
        <v>200</v>
      </c>
      <c r="E311" s="6">
        <v>17.778581765557167</v>
      </c>
      <c r="F311" s="6">
        <v>0.1287603426504606</v>
      </c>
      <c r="G311" s="6"/>
      <c r="H311" s="6"/>
      <c r="I311" s="6"/>
      <c r="J311" s="6"/>
      <c r="K311" s="7"/>
    </row>
    <row r="312" spans="1:11" x14ac:dyDescent="0.2">
      <c r="A312" s="5">
        <v>10</v>
      </c>
      <c r="B312" s="6">
        <v>50</v>
      </c>
      <c r="C312" s="6">
        <v>20</v>
      </c>
      <c r="D312" s="6">
        <v>200</v>
      </c>
      <c r="E312" s="6">
        <v>22.972162740899357</v>
      </c>
      <c r="F312" s="6">
        <v>0.17049056038995222</v>
      </c>
      <c r="G312" s="6">
        <v>0.16022542560795261</v>
      </c>
      <c r="H312" s="6">
        <v>1.4517092828291656E-2</v>
      </c>
      <c r="I312" s="6"/>
      <c r="J312" s="6"/>
      <c r="K312" s="7"/>
    </row>
    <row r="313" spans="1:11" x14ac:dyDescent="0.2">
      <c r="A313" s="8">
        <v>10</v>
      </c>
      <c r="B313" s="9">
        <v>50</v>
      </c>
      <c r="C313" s="9">
        <v>20</v>
      </c>
      <c r="D313" s="9">
        <v>200</v>
      </c>
      <c r="E313" s="9">
        <v>20.205882352941181</v>
      </c>
      <c r="F313" s="9">
        <v>0.14996029082595297</v>
      </c>
      <c r="G313" s="9"/>
      <c r="H313" s="9"/>
      <c r="I313" s="9"/>
      <c r="J313" s="9"/>
      <c r="K313" s="10"/>
    </row>
    <row r="314" spans="1:11" x14ac:dyDescent="0.2">
      <c r="A314" s="11">
        <v>10</v>
      </c>
      <c r="B314" s="3">
        <v>200</v>
      </c>
      <c r="C314" s="3">
        <v>2</v>
      </c>
      <c r="D314" s="3">
        <v>25</v>
      </c>
      <c r="E314" s="3">
        <v>33.102645141612193</v>
      </c>
      <c r="F314" s="3">
        <v>0.71435029173656905</v>
      </c>
      <c r="G314" s="3">
        <v>0.65436873021972075</v>
      </c>
      <c r="H314" s="3">
        <v>8.4826737789442982E-2</v>
      </c>
      <c r="I314" s="3"/>
      <c r="J314" s="3">
        <f>AVERAGE(E314:E321)</f>
        <v>44.409719085148197</v>
      </c>
      <c r="K314" s="12">
        <f t="shared" ref="K314" si="35">AVERAGE(F314:F321)</f>
        <v>0.62269598125297843</v>
      </c>
    </row>
    <row r="315" spans="1:11" x14ac:dyDescent="0.2">
      <c r="A315" s="5">
        <v>10</v>
      </c>
      <c r="B315" s="6">
        <v>200</v>
      </c>
      <c r="C315" s="6">
        <v>2</v>
      </c>
      <c r="D315" s="6">
        <v>25</v>
      </c>
      <c r="E315" s="6">
        <v>27.543612356435641</v>
      </c>
      <c r="F315" s="6">
        <v>0.59438716870287245</v>
      </c>
      <c r="G315" s="6"/>
      <c r="H315" s="6"/>
      <c r="I315" s="6"/>
      <c r="J315" s="6"/>
      <c r="K315" s="7"/>
    </row>
    <row r="316" spans="1:11" x14ac:dyDescent="0.2">
      <c r="A316" s="5">
        <v>10</v>
      </c>
      <c r="B316" s="6">
        <v>200</v>
      </c>
      <c r="C316" s="6">
        <v>2</v>
      </c>
      <c r="D316" s="6">
        <v>25</v>
      </c>
      <c r="E316" s="6">
        <v>24.879830598200105</v>
      </c>
      <c r="F316" s="6">
        <v>0.69950989973815214</v>
      </c>
      <c r="G316" s="6">
        <v>0.69950989973815214</v>
      </c>
      <c r="H316" s="6"/>
      <c r="I316" s="6"/>
      <c r="J316" s="6"/>
      <c r="K316" s="7"/>
    </row>
    <row r="317" spans="1:11" x14ac:dyDescent="0.2">
      <c r="A317" s="5">
        <v>10</v>
      </c>
      <c r="B317" s="6">
        <v>200</v>
      </c>
      <c r="C317" s="6">
        <v>2</v>
      </c>
      <c r="D317" s="6">
        <v>25</v>
      </c>
      <c r="E317" s="6"/>
      <c r="F317" s="6"/>
      <c r="G317" s="6"/>
      <c r="H317" s="6"/>
      <c r="I317" s="6"/>
      <c r="J317" s="6"/>
      <c r="K317" s="7"/>
    </row>
    <row r="318" spans="1:11" x14ac:dyDescent="0.2">
      <c r="A318" s="5">
        <v>10</v>
      </c>
      <c r="B318" s="6">
        <v>200</v>
      </c>
      <c r="C318" s="6">
        <v>2</v>
      </c>
      <c r="D318" s="6">
        <v>25</v>
      </c>
      <c r="E318" s="6">
        <v>81.32158170557409</v>
      </c>
      <c r="F318" s="6">
        <v>0.93433033714046687</v>
      </c>
      <c r="G318" s="6">
        <v>0.93433033714046687</v>
      </c>
      <c r="H318" s="6"/>
      <c r="I318" s="6"/>
      <c r="J318" s="6"/>
      <c r="K318" s="7"/>
    </row>
    <row r="319" spans="1:11" x14ac:dyDescent="0.2">
      <c r="A319" s="5">
        <v>10</v>
      </c>
      <c r="B319" s="6">
        <v>200</v>
      </c>
      <c r="C319" s="6">
        <v>2</v>
      </c>
      <c r="D319" s="6">
        <v>25</v>
      </c>
      <c r="E319" s="6"/>
      <c r="F319" s="6"/>
      <c r="G319" s="6"/>
      <c r="H319" s="6"/>
      <c r="I319" s="6"/>
      <c r="J319" s="6"/>
      <c r="K319" s="7"/>
    </row>
    <row r="320" spans="1:11" x14ac:dyDescent="0.2">
      <c r="A320" s="5">
        <v>10</v>
      </c>
      <c r="B320" s="6">
        <v>200</v>
      </c>
      <c r="C320" s="6">
        <v>2</v>
      </c>
      <c r="D320" s="6">
        <v>25</v>
      </c>
      <c r="E320" s="6">
        <v>47.082969432314414</v>
      </c>
      <c r="F320" s="6">
        <v>0.37511010434526904</v>
      </c>
      <c r="G320" s="6">
        <v>0.39679909509990519</v>
      </c>
      <c r="H320" s="6">
        <v>3.0672864879391113E-2</v>
      </c>
      <c r="I320" s="6"/>
      <c r="J320" s="6"/>
      <c r="K320" s="7"/>
    </row>
    <row r="321" spans="1:11" x14ac:dyDescent="0.2">
      <c r="A321" s="8">
        <v>10</v>
      </c>
      <c r="B321" s="9">
        <v>200</v>
      </c>
      <c r="C321" s="9">
        <v>2</v>
      </c>
      <c r="D321" s="9">
        <v>25</v>
      </c>
      <c r="E321" s="9">
        <v>52.527675276752767</v>
      </c>
      <c r="F321" s="9">
        <v>0.41848808585454134</v>
      </c>
      <c r="G321" s="9"/>
      <c r="H321" s="9"/>
      <c r="I321" s="9"/>
      <c r="J321" s="9"/>
      <c r="K321" s="10"/>
    </row>
    <row r="322" spans="1:11" x14ac:dyDescent="0.2">
      <c r="A322" s="11">
        <v>10</v>
      </c>
      <c r="B322" s="3">
        <v>200</v>
      </c>
      <c r="C322" s="3">
        <v>2</v>
      </c>
      <c r="D322" s="3">
        <v>100</v>
      </c>
      <c r="E322" s="3">
        <v>27.135483729781157</v>
      </c>
      <c r="F322" s="3">
        <v>0.58557981200163456</v>
      </c>
      <c r="G322" s="3">
        <v>0.48157358138869588</v>
      </c>
      <c r="H322" s="3">
        <v>0.14708702190412171</v>
      </c>
      <c r="I322" s="3"/>
      <c r="J322" s="3">
        <f>AVERAGE(E322:E329)</f>
        <v>39.605661963079164</v>
      </c>
      <c r="K322" s="12">
        <f t="shared" ref="K322" si="36">AVERAGE(F322:F329)</f>
        <v>0.53952305690898361</v>
      </c>
    </row>
    <row r="323" spans="1:11" x14ac:dyDescent="0.2">
      <c r="A323" s="5">
        <v>10</v>
      </c>
      <c r="B323" s="6">
        <v>200</v>
      </c>
      <c r="C323" s="6">
        <v>2</v>
      </c>
      <c r="D323" s="6">
        <v>100</v>
      </c>
      <c r="E323" s="6">
        <v>17.496287429805616</v>
      </c>
      <c r="F323" s="6">
        <v>0.3775673507757572</v>
      </c>
      <c r="G323" s="6"/>
      <c r="H323" s="6"/>
      <c r="I323" s="6"/>
      <c r="J323" s="6"/>
      <c r="K323" s="7"/>
    </row>
    <row r="324" spans="1:11" x14ac:dyDescent="0.2">
      <c r="A324" s="5">
        <v>10</v>
      </c>
      <c r="B324" s="6">
        <v>200</v>
      </c>
      <c r="C324" s="6">
        <v>2</v>
      </c>
      <c r="D324" s="6">
        <v>100</v>
      </c>
      <c r="E324" s="6">
        <v>25.519354838709678</v>
      </c>
      <c r="F324" s="6">
        <v>0.71749046980647613</v>
      </c>
      <c r="G324" s="6">
        <v>0.71749046980647613</v>
      </c>
      <c r="H324" s="6"/>
      <c r="I324" s="6"/>
      <c r="J324" s="6"/>
      <c r="K324" s="7"/>
    </row>
    <row r="325" spans="1:11" x14ac:dyDescent="0.2">
      <c r="A325" s="5">
        <v>10</v>
      </c>
      <c r="B325" s="6">
        <v>200</v>
      </c>
      <c r="C325" s="6">
        <v>2</v>
      </c>
      <c r="D325" s="6">
        <v>100</v>
      </c>
      <c r="E325" s="6"/>
      <c r="F325" s="6"/>
      <c r="G325" s="6"/>
      <c r="H325" s="6"/>
      <c r="I325" s="6"/>
      <c r="J325" s="6"/>
      <c r="K325" s="7"/>
    </row>
    <row r="326" spans="1:11" x14ac:dyDescent="0.2">
      <c r="A326" s="5">
        <v>10</v>
      </c>
      <c r="B326" s="6">
        <v>200</v>
      </c>
      <c r="C326" s="6">
        <v>2</v>
      </c>
      <c r="D326" s="6">
        <v>100</v>
      </c>
      <c r="E326" s="6">
        <v>63.073250135648408</v>
      </c>
      <c r="F326" s="6">
        <v>0.72466926771231255</v>
      </c>
      <c r="G326" s="6">
        <v>0.72466926771231255</v>
      </c>
      <c r="H326" s="6"/>
      <c r="I326" s="6"/>
      <c r="J326" s="6"/>
      <c r="K326" s="7"/>
    </row>
    <row r="327" spans="1:11" x14ac:dyDescent="0.2">
      <c r="A327" s="5">
        <v>10</v>
      </c>
      <c r="B327" s="6">
        <v>200</v>
      </c>
      <c r="C327" s="6">
        <v>2</v>
      </c>
      <c r="D327" s="6">
        <v>100</v>
      </c>
      <c r="E327" s="6"/>
      <c r="F327" s="6"/>
      <c r="G327" s="6"/>
      <c r="H327" s="6"/>
      <c r="I327" s="6"/>
      <c r="J327" s="6"/>
      <c r="K327" s="7"/>
    </row>
    <row r="328" spans="1:11" x14ac:dyDescent="0.2">
      <c r="A328" s="5">
        <v>10</v>
      </c>
      <c r="B328" s="6">
        <v>200</v>
      </c>
      <c r="C328" s="6">
        <v>2</v>
      </c>
      <c r="D328" s="6">
        <v>100</v>
      </c>
      <c r="E328" s="6">
        <v>50.072727272727263</v>
      </c>
      <c r="F328" s="6">
        <v>0.39892951057657272</v>
      </c>
      <c r="G328" s="6">
        <v>0.41591572057886073</v>
      </c>
      <c r="H328" s="6">
        <v>2.4022128558553218E-2</v>
      </c>
      <c r="I328" s="6"/>
      <c r="J328" s="6"/>
      <c r="K328" s="7"/>
    </row>
    <row r="329" spans="1:11" x14ac:dyDescent="0.2">
      <c r="A329" s="8">
        <v>10</v>
      </c>
      <c r="B329" s="9">
        <v>200</v>
      </c>
      <c r="C329" s="9">
        <v>2</v>
      </c>
      <c r="D329" s="9">
        <v>100</v>
      </c>
      <c r="E329" s="9">
        <v>54.336868371802865</v>
      </c>
      <c r="F329" s="9">
        <v>0.43290193058114873</v>
      </c>
      <c r="G329" s="9"/>
      <c r="H329" s="9"/>
      <c r="I329" s="9"/>
      <c r="J329" s="9"/>
      <c r="K329" s="10"/>
    </row>
    <row r="330" spans="1:11" x14ac:dyDescent="0.2">
      <c r="A330" s="11">
        <v>10</v>
      </c>
      <c r="B330" s="3">
        <v>200</v>
      </c>
      <c r="C330" s="3">
        <v>2</v>
      </c>
      <c r="D330" s="3">
        <v>200</v>
      </c>
      <c r="E330" s="3">
        <v>24.736638854961832</v>
      </c>
      <c r="F330" s="3">
        <v>0.53381308674970507</v>
      </c>
      <c r="G330" s="3">
        <v>0.52573821835102297</v>
      </c>
      <c r="H330" s="3">
        <v>1.1419588403794142E-2</v>
      </c>
      <c r="I330" s="3"/>
      <c r="J330" s="3">
        <f>AVERAGE(E330:E337)</f>
        <v>40.34981831066213</v>
      </c>
      <c r="K330" s="12">
        <f t="shared" ref="K330" si="37">AVERAGE(F330:F337)</f>
        <v>0.57396741671146712</v>
      </c>
    </row>
    <row r="331" spans="1:11" x14ac:dyDescent="0.2">
      <c r="A331" s="5">
        <v>10</v>
      </c>
      <c r="B331" s="6">
        <v>200</v>
      </c>
      <c r="C331" s="6">
        <v>2</v>
      </c>
      <c r="D331" s="6">
        <v>200</v>
      </c>
      <c r="E331" s="6">
        <v>23.98826790513834</v>
      </c>
      <c r="F331" s="6">
        <v>0.51766334995234087</v>
      </c>
      <c r="G331" s="6"/>
      <c r="H331" s="6"/>
      <c r="I331" s="6"/>
      <c r="J331" s="6"/>
      <c r="K331" s="7"/>
    </row>
    <row r="332" spans="1:11" x14ac:dyDescent="0.2">
      <c r="A332" s="5">
        <v>10</v>
      </c>
      <c r="B332" s="6">
        <v>200</v>
      </c>
      <c r="C332" s="6">
        <v>2</v>
      </c>
      <c r="D332" s="6">
        <v>200</v>
      </c>
      <c r="E332" s="6">
        <v>31.727586206896547</v>
      </c>
      <c r="F332" s="6">
        <v>0.89203825399540126</v>
      </c>
      <c r="G332" s="6">
        <v>0.89203825399540126</v>
      </c>
      <c r="H332" s="6"/>
      <c r="I332" s="6"/>
      <c r="J332" s="6"/>
      <c r="K332" s="7"/>
    </row>
    <row r="333" spans="1:11" x14ac:dyDescent="0.2">
      <c r="A333" s="5">
        <v>10</v>
      </c>
      <c r="B333" s="6">
        <v>200</v>
      </c>
      <c r="C333" s="6">
        <v>2</v>
      </c>
      <c r="D333" s="6">
        <v>200</v>
      </c>
      <c r="E333" s="6"/>
      <c r="F333" s="6"/>
      <c r="G333" s="6"/>
      <c r="H333" s="6"/>
      <c r="I333" s="6"/>
      <c r="J333" s="6"/>
      <c r="K333" s="7"/>
    </row>
    <row r="334" spans="1:11" x14ac:dyDescent="0.2">
      <c r="A334" s="5">
        <v>10</v>
      </c>
      <c r="B334" s="6">
        <v>200</v>
      </c>
      <c r="C334" s="6">
        <v>2</v>
      </c>
      <c r="D334" s="6">
        <v>200</v>
      </c>
      <c r="E334" s="6">
        <v>60.3159645232816</v>
      </c>
      <c r="F334" s="6">
        <v>0.69298990853405085</v>
      </c>
      <c r="G334" s="6">
        <v>0.69298990853405085</v>
      </c>
      <c r="H334" s="6"/>
      <c r="I334" s="6"/>
      <c r="J334" s="6"/>
      <c r="K334" s="7"/>
    </row>
    <row r="335" spans="1:11" x14ac:dyDescent="0.2">
      <c r="A335" s="5">
        <v>10</v>
      </c>
      <c r="B335" s="6">
        <v>200</v>
      </c>
      <c r="C335" s="6">
        <v>2</v>
      </c>
      <c r="D335" s="6">
        <v>200</v>
      </c>
      <c r="E335" s="6"/>
      <c r="F335" s="6"/>
      <c r="G335" s="6"/>
      <c r="H335" s="6"/>
      <c r="I335" s="6"/>
      <c r="J335" s="6"/>
      <c r="K335" s="7"/>
    </row>
    <row r="336" spans="1:11" x14ac:dyDescent="0.2">
      <c r="A336" s="5">
        <v>10</v>
      </c>
      <c r="B336" s="6">
        <v>200</v>
      </c>
      <c r="C336" s="6">
        <v>2</v>
      </c>
      <c r="D336" s="6">
        <v>200</v>
      </c>
      <c r="E336" s="6">
        <v>45.896005072923266</v>
      </c>
      <c r="F336" s="6">
        <v>0.36565355710379993</v>
      </c>
      <c r="G336" s="6">
        <v>0.40364995051865221</v>
      </c>
      <c r="H336" s="6">
        <v>5.3735014888547858E-2</v>
      </c>
      <c r="I336" s="6"/>
      <c r="J336" s="6"/>
      <c r="K336" s="7"/>
    </row>
    <row r="337" spans="1:11" x14ac:dyDescent="0.2">
      <c r="A337" s="8">
        <v>10</v>
      </c>
      <c r="B337" s="9">
        <v>200</v>
      </c>
      <c r="C337" s="9">
        <v>2</v>
      </c>
      <c r="D337" s="9">
        <v>200</v>
      </c>
      <c r="E337" s="9">
        <v>55.434447300771218</v>
      </c>
      <c r="F337" s="9">
        <v>0.44164634393350449</v>
      </c>
      <c r="G337" s="9"/>
      <c r="H337" s="9"/>
      <c r="I337" s="9"/>
      <c r="J337" s="9"/>
      <c r="K337" s="10"/>
    </row>
    <row r="338" spans="1:11" x14ac:dyDescent="0.2">
      <c r="A338" s="11">
        <v>10</v>
      </c>
      <c r="B338" s="3">
        <v>200</v>
      </c>
      <c r="C338" s="3">
        <v>5</v>
      </c>
      <c r="D338" s="3">
        <v>25</v>
      </c>
      <c r="E338" s="3"/>
      <c r="F338" s="3"/>
      <c r="G338" s="3"/>
      <c r="H338" s="3"/>
      <c r="I338" s="3"/>
      <c r="J338" s="3">
        <f>AVERAGE(E338:E345)</f>
        <v>53.562736812111801</v>
      </c>
      <c r="K338" s="12">
        <f t="shared" ref="K338" si="38">AVERAGE(F338:F345)</f>
        <v>0.88475027922715554</v>
      </c>
    </row>
    <row r="339" spans="1:11" x14ac:dyDescent="0.2">
      <c r="A339" s="5">
        <v>10</v>
      </c>
      <c r="B339" s="6">
        <v>200</v>
      </c>
      <c r="C339" s="6">
        <v>5</v>
      </c>
      <c r="D339" s="6">
        <v>25</v>
      </c>
      <c r="E339" s="6">
        <v>30.712206047032474</v>
      </c>
      <c r="F339" s="6">
        <v>0.70627102337135417</v>
      </c>
      <c r="G339" s="6"/>
      <c r="H339" s="6"/>
      <c r="I339" s="6"/>
      <c r="J339" s="6"/>
      <c r="K339" s="7"/>
    </row>
    <row r="340" spans="1:11" x14ac:dyDescent="0.2">
      <c r="A340" s="5">
        <v>10</v>
      </c>
      <c r="B340" s="6">
        <v>200</v>
      </c>
      <c r="C340" s="6">
        <v>5</v>
      </c>
      <c r="D340" s="6">
        <v>25</v>
      </c>
      <c r="E340" s="6">
        <v>38.908903757076686</v>
      </c>
      <c r="F340" s="6">
        <v>0.88596348619951004</v>
      </c>
      <c r="G340" s="6">
        <v>0.88596348619951004</v>
      </c>
      <c r="H340" s="6"/>
      <c r="I340" s="6"/>
      <c r="J340" s="6"/>
      <c r="K340" s="7"/>
    </row>
    <row r="341" spans="1:11" x14ac:dyDescent="0.2">
      <c r="A341" s="5">
        <v>10</v>
      </c>
      <c r="B341" s="6">
        <v>200</v>
      </c>
      <c r="C341" s="6">
        <v>5</v>
      </c>
      <c r="D341" s="6">
        <v>25</v>
      </c>
      <c r="E341" s="6"/>
      <c r="F341" s="6"/>
      <c r="G341" s="6"/>
      <c r="H341" s="6"/>
      <c r="I341" s="6"/>
      <c r="J341" s="6"/>
      <c r="K341" s="7"/>
    </row>
    <row r="342" spans="1:11" x14ac:dyDescent="0.2">
      <c r="A342" s="5">
        <v>10</v>
      </c>
      <c r="B342" s="6">
        <v>200</v>
      </c>
      <c r="C342" s="6">
        <v>5</v>
      </c>
      <c r="D342" s="6">
        <v>25</v>
      </c>
      <c r="E342" s="6">
        <v>52.831946755407643</v>
      </c>
      <c r="F342" s="6">
        <v>1.3840200331375885</v>
      </c>
      <c r="G342" s="6">
        <v>1.2314785243598645</v>
      </c>
      <c r="H342" s="6">
        <v>0.21572627053831223</v>
      </c>
      <c r="I342" s="6"/>
      <c r="J342" s="6"/>
      <c r="K342" s="7"/>
    </row>
    <row r="343" spans="1:11" x14ac:dyDescent="0.2">
      <c r="A343" s="5">
        <v>10</v>
      </c>
      <c r="B343" s="6">
        <v>200</v>
      </c>
      <c r="C343" s="6">
        <v>5</v>
      </c>
      <c r="D343" s="6">
        <v>25</v>
      </c>
      <c r="E343" s="6">
        <v>41.186067827681029</v>
      </c>
      <c r="F343" s="6">
        <v>1.0789370155821405</v>
      </c>
      <c r="G343" s="6"/>
      <c r="H343" s="6"/>
      <c r="I343" s="6"/>
      <c r="J343" s="6"/>
      <c r="K343" s="7"/>
    </row>
    <row r="344" spans="1:11" x14ac:dyDescent="0.2">
      <c r="A344" s="5">
        <v>10</v>
      </c>
      <c r="B344" s="6">
        <v>200</v>
      </c>
      <c r="C344" s="6">
        <v>5</v>
      </c>
      <c r="D344" s="6">
        <v>25</v>
      </c>
      <c r="E344" s="6">
        <v>77.071096345514945</v>
      </c>
      <c r="F344" s="6">
        <v>0.61237251389424519</v>
      </c>
      <c r="G344" s="6">
        <v>0.62665505853617032</v>
      </c>
      <c r="H344" s="6">
        <v>2.0198568337809624E-2</v>
      </c>
      <c r="I344" s="6"/>
      <c r="J344" s="6"/>
      <c r="K344" s="7"/>
    </row>
    <row r="345" spans="1:11" x14ac:dyDescent="0.2">
      <c r="A345" s="8">
        <v>10</v>
      </c>
      <c r="B345" s="9">
        <v>200</v>
      </c>
      <c r="C345" s="9">
        <v>5</v>
      </c>
      <c r="D345" s="9">
        <v>25</v>
      </c>
      <c r="E345" s="9">
        <v>80.666200139958022</v>
      </c>
      <c r="F345" s="9">
        <v>0.64093760317809534</v>
      </c>
      <c r="G345" s="9"/>
      <c r="H345" s="9"/>
      <c r="I345" s="9"/>
      <c r="J345" s="9"/>
      <c r="K345" s="10"/>
    </row>
    <row r="346" spans="1:11" x14ac:dyDescent="0.2">
      <c r="A346" s="11">
        <v>10</v>
      </c>
      <c r="B346" s="3">
        <v>200</v>
      </c>
      <c r="C346" s="3">
        <v>5</v>
      </c>
      <c r="D346" s="3">
        <v>100</v>
      </c>
      <c r="E346" s="3"/>
      <c r="F346" s="3"/>
      <c r="G346" s="3"/>
      <c r="H346" s="3"/>
      <c r="I346" s="3"/>
      <c r="J346" s="3">
        <f>AVERAGE(E346:E353)</f>
        <v>52.430544426362445</v>
      </c>
      <c r="K346" s="12">
        <f t="shared" ref="K346" si="39">AVERAGE(F346:F353)</f>
        <v>0.83806269813684464</v>
      </c>
    </row>
    <row r="347" spans="1:11" x14ac:dyDescent="0.2">
      <c r="A347" s="5">
        <v>10</v>
      </c>
      <c r="B347" s="6">
        <v>200</v>
      </c>
      <c r="C347" s="6">
        <v>5</v>
      </c>
      <c r="D347" s="6">
        <v>100</v>
      </c>
      <c r="E347" s="6">
        <v>32.451827242524914</v>
      </c>
      <c r="F347" s="6">
        <v>0.74627609627746205</v>
      </c>
      <c r="G347" s="6"/>
      <c r="H347" s="6"/>
      <c r="I347" s="6"/>
      <c r="J347" s="6"/>
      <c r="K347" s="7"/>
    </row>
    <row r="348" spans="1:11" x14ac:dyDescent="0.2">
      <c r="A348" s="5">
        <v>10</v>
      </c>
      <c r="B348" s="6">
        <v>200</v>
      </c>
      <c r="C348" s="6">
        <v>5</v>
      </c>
      <c r="D348" s="6">
        <v>100</v>
      </c>
      <c r="E348" s="6">
        <v>29.785474860335196</v>
      </c>
      <c r="F348" s="6">
        <v>0.67822119353776134</v>
      </c>
      <c r="G348" s="6">
        <v>0.67822119353776134</v>
      </c>
      <c r="H348" s="6"/>
      <c r="I348" s="6"/>
      <c r="J348" s="6"/>
      <c r="K348" s="7"/>
    </row>
    <row r="349" spans="1:11" x14ac:dyDescent="0.2">
      <c r="A349" s="5">
        <v>10</v>
      </c>
      <c r="B349" s="6">
        <v>200</v>
      </c>
      <c r="C349" s="6">
        <v>5</v>
      </c>
      <c r="D349" s="6">
        <v>100</v>
      </c>
      <c r="E349" s="6"/>
      <c r="F349" s="6"/>
      <c r="G349" s="6"/>
      <c r="H349" s="6"/>
      <c r="I349" s="6"/>
      <c r="J349" s="6"/>
      <c r="K349" s="7"/>
    </row>
    <row r="350" spans="1:11" x14ac:dyDescent="0.2">
      <c r="A350" s="5">
        <v>10</v>
      </c>
      <c r="B350" s="6">
        <v>200</v>
      </c>
      <c r="C350" s="6">
        <v>5</v>
      </c>
      <c r="D350" s="6">
        <v>100</v>
      </c>
      <c r="E350" s="6">
        <v>50.636619718309859</v>
      </c>
      <c r="F350" s="6">
        <v>1.3265098184809438</v>
      </c>
      <c r="G350" s="6">
        <v>1.1474523749284442</v>
      </c>
      <c r="H350" s="6">
        <v>0.25322546511579985</v>
      </c>
      <c r="I350" s="6"/>
      <c r="J350" s="6"/>
      <c r="K350" s="7"/>
    </row>
    <row r="351" spans="1:11" x14ac:dyDescent="0.2">
      <c r="A351" s="5">
        <v>10</v>
      </c>
      <c r="B351" s="6">
        <v>200</v>
      </c>
      <c r="C351" s="6">
        <v>5</v>
      </c>
      <c r="D351" s="6">
        <v>100</v>
      </c>
      <c r="E351" s="6">
        <v>36.966364812419151</v>
      </c>
      <c r="F351" s="6">
        <v>0.96839493137594457</v>
      </c>
      <c r="G351" s="6"/>
      <c r="H351" s="6"/>
      <c r="I351" s="6"/>
      <c r="J351" s="6"/>
      <c r="K351" s="7"/>
    </row>
    <row r="352" spans="1:11" x14ac:dyDescent="0.2">
      <c r="A352" s="5">
        <v>10</v>
      </c>
      <c r="B352" s="6">
        <v>200</v>
      </c>
      <c r="C352" s="6">
        <v>5</v>
      </c>
      <c r="D352" s="6">
        <v>100</v>
      </c>
      <c r="E352" s="6">
        <v>81.72972972972974</v>
      </c>
      <c r="F352" s="6">
        <v>0.64938793435762998</v>
      </c>
      <c r="G352" s="6">
        <v>0.65448707457447797</v>
      </c>
      <c r="H352" s="6">
        <v>7.2112732511084281E-3</v>
      </c>
      <c r="I352" s="6"/>
      <c r="J352" s="6"/>
      <c r="K352" s="7"/>
    </row>
    <row r="353" spans="1:11" x14ac:dyDescent="0.2">
      <c r="A353" s="8">
        <v>10</v>
      </c>
      <c r="B353" s="9">
        <v>200</v>
      </c>
      <c r="C353" s="9">
        <v>5</v>
      </c>
      <c r="D353" s="9">
        <v>100</v>
      </c>
      <c r="E353" s="9">
        <v>83.0132501948558</v>
      </c>
      <c r="F353" s="9">
        <v>0.65958621479132584</v>
      </c>
      <c r="G353" s="9"/>
      <c r="H353" s="9"/>
      <c r="I353" s="9"/>
      <c r="J353" s="9"/>
      <c r="K353" s="10"/>
    </row>
    <row r="354" spans="1:11" x14ac:dyDescent="0.2">
      <c r="A354" s="11">
        <v>10</v>
      </c>
      <c r="B354" s="3">
        <v>200</v>
      </c>
      <c r="C354" s="3">
        <v>5</v>
      </c>
      <c r="D354" s="3">
        <v>200</v>
      </c>
      <c r="E354" s="3"/>
      <c r="F354" s="3"/>
      <c r="G354" s="3"/>
      <c r="H354" s="3"/>
      <c r="I354" s="3"/>
      <c r="J354" s="3">
        <f>AVERAGE(E354:E361)</f>
        <v>52.118672038555168</v>
      </c>
      <c r="K354" s="12">
        <f t="shared" ref="K354" si="40">AVERAGE(F354:F361)</f>
        <v>0.82647714382391435</v>
      </c>
    </row>
    <row r="355" spans="1:11" x14ac:dyDescent="0.2">
      <c r="A355" s="5">
        <v>10</v>
      </c>
      <c r="B355" s="6">
        <v>200</v>
      </c>
      <c r="C355" s="6">
        <v>5</v>
      </c>
      <c r="D355" s="6">
        <v>200</v>
      </c>
      <c r="E355" s="6">
        <v>26.421556886227549</v>
      </c>
      <c r="F355" s="6">
        <v>0.60760142050764387</v>
      </c>
      <c r="G355" s="6"/>
      <c r="H355" s="6"/>
      <c r="I355" s="6"/>
      <c r="J355" s="6"/>
      <c r="K355" s="7"/>
    </row>
    <row r="356" spans="1:11" x14ac:dyDescent="0.2">
      <c r="A356" s="5">
        <v>10</v>
      </c>
      <c r="B356" s="6">
        <v>200</v>
      </c>
      <c r="C356" s="6">
        <v>5</v>
      </c>
      <c r="D356" s="6">
        <v>200</v>
      </c>
      <c r="E356" s="6">
        <v>31.774701069855251</v>
      </c>
      <c r="F356" s="6">
        <v>0.72351627042887745</v>
      </c>
      <c r="G356" s="6">
        <v>0.72351627042887745</v>
      </c>
      <c r="H356" s="6"/>
      <c r="I356" s="6"/>
      <c r="J356" s="6"/>
      <c r="K356" s="7"/>
    </row>
    <row r="357" spans="1:11" x14ac:dyDescent="0.2">
      <c r="A357" s="5">
        <v>10</v>
      </c>
      <c r="B357" s="6">
        <v>200</v>
      </c>
      <c r="C357" s="6">
        <v>5</v>
      </c>
      <c r="D357" s="6">
        <v>200</v>
      </c>
      <c r="E357" s="6"/>
      <c r="F357" s="6"/>
      <c r="G357" s="6"/>
      <c r="H357" s="6"/>
      <c r="I357" s="6"/>
      <c r="J357" s="6"/>
      <c r="K357" s="7"/>
    </row>
    <row r="358" spans="1:11" x14ac:dyDescent="0.2">
      <c r="A358" s="5">
        <v>10</v>
      </c>
      <c r="B358" s="6">
        <v>200</v>
      </c>
      <c r="C358" s="6">
        <v>5</v>
      </c>
      <c r="D358" s="6">
        <v>200</v>
      </c>
      <c r="E358" s="6">
        <v>50.047153923880089</v>
      </c>
      <c r="F358" s="6">
        <v>1.3110677892080653</v>
      </c>
      <c r="G358" s="6">
        <v>1.1522076303186415</v>
      </c>
      <c r="H358" s="6">
        <v>0.22466219122216813</v>
      </c>
      <c r="I358" s="6"/>
      <c r="J358" s="6"/>
      <c r="K358" s="7"/>
    </row>
    <row r="359" spans="1:11" x14ac:dyDescent="0.2">
      <c r="A359" s="5">
        <v>10</v>
      </c>
      <c r="B359" s="6">
        <v>200</v>
      </c>
      <c r="C359" s="6">
        <v>5</v>
      </c>
      <c r="D359" s="6">
        <v>200</v>
      </c>
      <c r="E359" s="6">
        <v>37.918873617163925</v>
      </c>
      <c r="F359" s="6">
        <v>0.99334747142921775</v>
      </c>
      <c r="G359" s="6"/>
      <c r="H359" s="6"/>
      <c r="I359" s="6"/>
      <c r="J359" s="6"/>
      <c r="K359" s="7"/>
    </row>
    <row r="360" spans="1:11" x14ac:dyDescent="0.2">
      <c r="A360" s="5">
        <v>10</v>
      </c>
      <c r="B360" s="6">
        <v>200</v>
      </c>
      <c r="C360" s="6">
        <v>5</v>
      </c>
      <c r="D360" s="6">
        <v>200</v>
      </c>
      <c r="E360" s="6">
        <v>78.756198347107429</v>
      </c>
      <c r="F360" s="6">
        <v>0.62576158188229214</v>
      </c>
      <c r="G360" s="6">
        <v>0.66166495568484085</v>
      </c>
      <c r="H360" s="6">
        <v>5.0775038166515268E-2</v>
      </c>
      <c r="I360" s="6"/>
      <c r="J360" s="6"/>
      <c r="K360" s="7"/>
    </row>
    <row r="361" spans="1:11" x14ac:dyDescent="0.2">
      <c r="A361" s="8">
        <v>10</v>
      </c>
      <c r="B361" s="9">
        <v>200</v>
      </c>
      <c r="C361" s="9">
        <v>5</v>
      </c>
      <c r="D361" s="9">
        <v>200</v>
      </c>
      <c r="E361" s="9">
        <v>87.793548387096777</v>
      </c>
      <c r="F361" s="9">
        <v>0.69756832948738956</v>
      </c>
      <c r="G361" s="9"/>
      <c r="H361" s="9"/>
      <c r="I361" s="9"/>
      <c r="J361" s="9"/>
      <c r="K361" s="10"/>
    </row>
    <row r="362" spans="1:11" x14ac:dyDescent="0.2">
      <c r="A362" s="11">
        <v>10</v>
      </c>
      <c r="B362" s="3">
        <v>200</v>
      </c>
      <c r="C362" s="3">
        <v>20</v>
      </c>
      <c r="D362" s="3">
        <v>25</v>
      </c>
      <c r="E362" s="3">
        <v>51.929824561403514</v>
      </c>
      <c r="F362" s="3">
        <v>1.261495675426805</v>
      </c>
      <c r="G362" s="3">
        <v>1.2359686699283963</v>
      </c>
      <c r="H362" s="3">
        <v>3.6100637382622147E-2</v>
      </c>
      <c r="I362" s="3"/>
      <c r="J362" s="3">
        <f>AVERAGE(E362:E369)</f>
        <v>53.133589607335615</v>
      </c>
      <c r="K362" s="12">
        <f t="shared" ref="K362" si="41">AVERAGE(F362:F369)</f>
        <v>0.77755583192259359</v>
      </c>
    </row>
    <row r="363" spans="1:11" x14ac:dyDescent="0.2">
      <c r="A363" s="5">
        <v>10</v>
      </c>
      <c r="B363" s="6">
        <v>200</v>
      </c>
      <c r="C363" s="6">
        <v>20</v>
      </c>
      <c r="D363" s="6">
        <v>25</v>
      </c>
      <c r="E363" s="6">
        <v>49.828171828171833</v>
      </c>
      <c r="F363" s="6">
        <v>1.2104416644299876</v>
      </c>
      <c r="G363" s="6"/>
      <c r="H363" s="6"/>
      <c r="I363" s="6"/>
      <c r="J363" s="6"/>
      <c r="K363" s="7"/>
    </row>
    <row r="364" spans="1:11" x14ac:dyDescent="0.2">
      <c r="A364" s="5">
        <v>10</v>
      </c>
      <c r="B364" s="6">
        <v>200</v>
      </c>
      <c r="C364" s="6">
        <v>20</v>
      </c>
      <c r="D364" s="6">
        <v>25</v>
      </c>
      <c r="E364" s="6">
        <v>55.520965692503175</v>
      </c>
      <c r="F364" s="6">
        <v>1.1924144053921382</v>
      </c>
      <c r="G364" s="6">
        <v>1.0420781174347731</v>
      </c>
      <c r="H364" s="6">
        <v>0.21260761734613237</v>
      </c>
      <c r="I364" s="6"/>
      <c r="J364" s="6"/>
      <c r="K364" s="7"/>
    </row>
    <row r="365" spans="1:11" x14ac:dyDescent="0.2">
      <c r="A365" s="5">
        <v>10</v>
      </c>
      <c r="B365" s="6">
        <v>200</v>
      </c>
      <c r="C365" s="6">
        <v>20</v>
      </c>
      <c r="D365" s="6">
        <v>25</v>
      </c>
      <c r="E365" s="6">
        <v>41.521108179419528</v>
      </c>
      <c r="F365" s="6">
        <v>0.89174182947740788</v>
      </c>
      <c r="G365" s="6"/>
      <c r="H365" s="6"/>
      <c r="I365" s="6"/>
      <c r="J365" s="6"/>
      <c r="K365" s="7"/>
    </row>
    <row r="366" spans="1:11" x14ac:dyDescent="0.2">
      <c r="A366" s="5">
        <v>10</v>
      </c>
      <c r="B366" s="6">
        <v>200</v>
      </c>
      <c r="C366" s="6">
        <v>20</v>
      </c>
      <c r="D366" s="6">
        <v>25</v>
      </c>
      <c r="E366" s="6">
        <v>3.0677042801556418</v>
      </c>
      <c r="F366" s="6">
        <v>2.2217669523469218E-2</v>
      </c>
      <c r="G366" s="6">
        <v>0.30166079687406916</v>
      </c>
      <c r="H366" s="6">
        <v>0.39519226061117035</v>
      </c>
      <c r="I366" s="6"/>
      <c r="J366" s="6"/>
      <c r="K366" s="7"/>
    </row>
    <row r="367" spans="1:11" x14ac:dyDescent="0.2">
      <c r="A367" s="5">
        <v>10</v>
      </c>
      <c r="B367" s="6">
        <v>200</v>
      </c>
      <c r="C367" s="6">
        <v>20</v>
      </c>
      <c r="D367" s="6">
        <v>25</v>
      </c>
      <c r="E367" s="6">
        <v>80.235912847483078</v>
      </c>
      <c r="F367" s="6">
        <v>0.58110392422466906</v>
      </c>
      <c r="G367" s="6"/>
      <c r="H367" s="6"/>
      <c r="I367" s="6"/>
      <c r="J367" s="6"/>
      <c r="K367" s="7"/>
    </row>
    <row r="368" spans="1:11" x14ac:dyDescent="0.2">
      <c r="A368" s="5">
        <v>10</v>
      </c>
      <c r="B368" s="6">
        <v>200</v>
      </c>
      <c r="C368" s="6">
        <v>20</v>
      </c>
      <c r="D368" s="6">
        <v>25</v>
      </c>
      <c r="E368" s="6">
        <v>100.80000000000001</v>
      </c>
      <c r="F368" s="6">
        <v>0.74809884820772332</v>
      </c>
      <c r="G368" s="6">
        <v>0.53051574345313579</v>
      </c>
      <c r="H368" s="6">
        <v>0.30770897768718353</v>
      </c>
      <c r="I368" s="6"/>
      <c r="J368" s="6"/>
      <c r="K368" s="7"/>
    </row>
    <row r="369" spans="1:11" x14ac:dyDescent="0.2">
      <c r="A369" s="8">
        <v>10</v>
      </c>
      <c r="B369" s="9">
        <v>200</v>
      </c>
      <c r="C369" s="9">
        <v>20</v>
      </c>
      <c r="D369" s="9">
        <v>25</v>
      </c>
      <c r="E369" s="9">
        <v>42.165029469548131</v>
      </c>
      <c r="F369" s="9">
        <v>0.31293263869854826</v>
      </c>
      <c r="G369" s="9"/>
      <c r="H369" s="9"/>
      <c r="I369" s="9"/>
      <c r="J369" s="9"/>
      <c r="K369" s="10"/>
    </row>
    <row r="370" spans="1:11" x14ac:dyDescent="0.2">
      <c r="A370" s="11">
        <v>10</v>
      </c>
      <c r="B370" s="3">
        <v>200</v>
      </c>
      <c r="C370" s="3">
        <v>20</v>
      </c>
      <c r="D370" s="3">
        <v>100</v>
      </c>
      <c r="E370" s="3">
        <v>53.316713881019822</v>
      </c>
      <c r="F370" s="3">
        <v>1.295186428164143</v>
      </c>
      <c r="G370" s="3">
        <v>1.2561653385151548</v>
      </c>
      <c r="H370" s="3">
        <v>5.5184154200175674E-2</v>
      </c>
      <c r="I370" s="3"/>
      <c r="J370" s="3">
        <f>AVERAGE(E370:E377)</f>
        <v>50.650705760426639</v>
      </c>
      <c r="K370" s="12">
        <f t="shared" ref="K370" si="42">AVERAGE(F370:F377)</f>
        <v>0.67678713069095231</v>
      </c>
    </row>
    <row r="371" spans="1:11" x14ac:dyDescent="0.2">
      <c r="A371" s="5">
        <v>10</v>
      </c>
      <c r="B371" s="6">
        <v>200</v>
      </c>
      <c r="C371" s="6">
        <v>20</v>
      </c>
      <c r="D371" s="6">
        <v>100</v>
      </c>
      <c r="E371" s="6">
        <v>50.104085603112836</v>
      </c>
      <c r="F371" s="6">
        <v>1.2171442488661663</v>
      </c>
      <c r="G371" s="6"/>
      <c r="H371" s="6"/>
      <c r="I371" s="6"/>
      <c r="J371" s="6"/>
      <c r="K371" s="7"/>
    </row>
    <row r="372" spans="1:11" x14ac:dyDescent="0.2">
      <c r="A372" s="5">
        <v>10</v>
      </c>
      <c r="B372" s="6">
        <v>200</v>
      </c>
      <c r="C372" s="6">
        <v>20</v>
      </c>
      <c r="D372" s="6">
        <v>100</v>
      </c>
      <c r="E372" s="6">
        <v>29.757287328970847</v>
      </c>
      <c r="F372" s="6">
        <v>0.63909223540845117</v>
      </c>
      <c r="G372" s="6">
        <v>0.5224687306271083</v>
      </c>
      <c r="H372" s="6">
        <v>0.16493054215325856</v>
      </c>
      <c r="I372" s="6"/>
      <c r="J372" s="6"/>
      <c r="K372" s="7"/>
    </row>
    <row r="373" spans="1:11" x14ac:dyDescent="0.2">
      <c r="A373" s="5">
        <v>10</v>
      </c>
      <c r="B373" s="6">
        <v>200</v>
      </c>
      <c r="C373" s="6">
        <v>20</v>
      </c>
      <c r="D373" s="6">
        <v>100</v>
      </c>
      <c r="E373" s="6">
        <v>18.896885813148785</v>
      </c>
      <c r="F373" s="6">
        <v>0.40584522584576532</v>
      </c>
      <c r="G373" s="6"/>
      <c r="H373" s="6"/>
      <c r="I373" s="6"/>
      <c r="J373" s="6"/>
      <c r="K373" s="7"/>
    </row>
    <row r="374" spans="1:11" x14ac:dyDescent="0.2">
      <c r="A374" s="5">
        <v>10</v>
      </c>
      <c r="B374" s="6">
        <v>200</v>
      </c>
      <c r="C374" s="6">
        <v>20</v>
      </c>
      <c r="D374" s="6">
        <v>100</v>
      </c>
      <c r="E374" s="6">
        <v>56.543926661573721</v>
      </c>
      <c r="F374" s="6">
        <v>0.40951609457688248</v>
      </c>
      <c r="G374" s="6">
        <v>0.43674499636350689</v>
      </c>
      <c r="H374" s="6">
        <v>3.8507482195169231E-2</v>
      </c>
      <c r="I374" s="6"/>
      <c r="J374" s="6"/>
      <c r="K374" s="7"/>
    </row>
    <row r="375" spans="1:11" x14ac:dyDescent="0.2">
      <c r="A375" s="5">
        <v>10</v>
      </c>
      <c r="B375" s="6">
        <v>200</v>
      </c>
      <c r="C375" s="6">
        <v>20</v>
      </c>
      <c r="D375" s="6">
        <v>100</v>
      </c>
      <c r="E375" s="6">
        <v>64.063186813186803</v>
      </c>
      <c r="F375" s="6">
        <v>0.46397389815013129</v>
      </c>
      <c r="G375" s="6"/>
      <c r="H375" s="6"/>
      <c r="I375" s="6"/>
      <c r="J375" s="6"/>
      <c r="K375" s="7"/>
    </row>
    <row r="376" spans="1:11" x14ac:dyDescent="0.2">
      <c r="A376" s="5">
        <v>10</v>
      </c>
      <c r="B376" s="6">
        <v>200</v>
      </c>
      <c r="C376" s="6">
        <v>20</v>
      </c>
      <c r="D376" s="6">
        <v>100</v>
      </c>
      <c r="E376" s="6">
        <v>78.380038387715928</v>
      </c>
      <c r="F376" s="6">
        <v>0.5817065123048355</v>
      </c>
      <c r="G376" s="6">
        <v>0.49176945725803967</v>
      </c>
      <c r="H376" s="6">
        <v>0.12719020300707434</v>
      </c>
      <c r="I376" s="6"/>
      <c r="J376" s="6"/>
      <c r="K376" s="7"/>
    </row>
    <row r="377" spans="1:11" x14ac:dyDescent="0.2">
      <c r="A377" s="8">
        <v>10</v>
      </c>
      <c r="B377" s="9">
        <v>200</v>
      </c>
      <c r="C377" s="9">
        <v>20</v>
      </c>
      <c r="D377" s="9">
        <v>100</v>
      </c>
      <c r="E377" s="9">
        <v>54.143521594684387</v>
      </c>
      <c r="F377" s="9">
        <v>0.40183240221124389</v>
      </c>
      <c r="G377" s="9"/>
      <c r="H377" s="9"/>
      <c r="I377" s="9"/>
      <c r="J377" s="9"/>
      <c r="K377" s="10"/>
    </row>
    <row r="378" spans="1:11" x14ac:dyDescent="0.2">
      <c r="A378" s="11">
        <v>10</v>
      </c>
      <c r="B378" s="3">
        <v>200</v>
      </c>
      <c r="C378" s="3">
        <v>20</v>
      </c>
      <c r="D378" s="3">
        <v>200</v>
      </c>
      <c r="E378" s="3">
        <v>51.111428571428576</v>
      </c>
      <c r="F378" s="3">
        <v>1.2416149419396489</v>
      </c>
      <c r="G378" s="3">
        <v>1.0719474530453668</v>
      </c>
      <c r="H378" s="3">
        <v>0.23994606388807929</v>
      </c>
      <c r="I378" s="3"/>
      <c r="J378" s="3">
        <f>AVERAGE(E378:E385)</f>
        <v>52.086420065458526</v>
      </c>
      <c r="K378" s="12">
        <f t="shared" ref="K378" si="43">AVERAGE(F378:F385)</f>
        <v>0.67033612055475067</v>
      </c>
    </row>
    <row r="379" spans="1:11" x14ac:dyDescent="0.2">
      <c r="A379" s="5">
        <v>10</v>
      </c>
      <c r="B379" s="6">
        <v>200</v>
      </c>
      <c r="C379" s="6">
        <v>20</v>
      </c>
      <c r="D379" s="6">
        <v>200</v>
      </c>
      <c r="E379" s="6">
        <v>37.142608695652179</v>
      </c>
      <c r="F379" s="6">
        <v>0.90227996415108436</v>
      </c>
      <c r="G379" s="6"/>
      <c r="H379" s="6"/>
      <c r="I379" s="6"/>
      <c r="J379" s="6"/>
      <c r="K379" s="7"/>
    </row>
    <row r="380" spans="1:11" x14ac:dyDescent="0.2">
      <c r="A380" s="5">
        <v>10</v>
      </c>
      <c r="B380" s="6">
        <v>200</v>
      </c>
      <c r="C380" s="6">
        <v>20</v>
      </c>
      <c r="D380" s="6">
        <v>200</v>
      </c>
      <c r="E380" s="6">
        <v>27.124588002636784</v>
      </c>
      <c r="F380" s="6">
        <v>0.58255019651140794</v>
      </c>
      <c r="G380" s="6">
        <v>0.61433281982335586</v>
      </c>
      <c r="H380" s="6">
        <v>4.4947416935552043E-2</v>
      </c>
      <c r="I380" s="6"/>
      <c r="J380" s="6"/>
      <c r="K380" s="7"/>
    </row>
    <row r="381" spans="1:11" x14ac:dyDescent="0.2">
      <c r="A381" s="5">
        <v>10</v>
      </c>
      <c r="B381" s="6">
        <v>200</v>
      </c>
      <c r="C381" s="6">
        <v>20</v>
      </c>
      <c r="D381" s="6">
        <v>200</v>
      </c>
      <c r="E381" s="6">
        <v>30.084300549786199</v>
      </c>
      <c r="F381" s="6">
        <v>0.64611544313530378</v>
      </c>
      <c r="G381" s="6"/>
      <c r="H381" s="6"/>
      <c r="I381" s="6"/>
      <c r="J381" s="6"/>
      <c r="K381" s="7"/>
    </row>
    <row r="382" spans="1:11" x14ac:dyDescent="0.2">
      <c r="A382" s="5">
        <v>10</v>
      </c>
      <c r="B382" s="6">
        <v>200</v>
      </c>
      <c r="C382" s="6">
        <v>20</v>
      </c>
      <c r="D382" s="6">
        <v>200</v>
      </c>
      <c r="E382" s="6">
        <v>55.296436694465513</v>
      </c>
      <c r="F382" s="6">
        <v>0.40048122116931678</v>
      </c>
      <c r="G382" s="6">
        <v>0.46130327023998952</v>
      </c>
      <c r="H382" s="6">
        <v>8.6015366687067829E-2</v>
      </c>
      <c r="I382" s="6"/>
      <c r="J382" s="6"/>
      <c r="K382" s="7"/>
    </row>
    <row r="383" spans="1:11" x14ac:dyDescent="0.2">
      <c r="A383" s="5">
        <v>10</v>
      </c>
      <c r="B383" s="6">
        <v>200</v>
      </c>
      <c r="C383" s="6">
        <v>20</v>
      </c>
      <c r="D383" s="6">
        <v>200</v>
      </c>
      <c r="E383" s="6">
        <v>72.092443140132076</v>
      </c>
      <c r="F383" s="6">
        <v>0.52212531931066231</v>
      </c>
      <c r="G383" s="6"/>
      <c r="H383" s="6"/>
      <c r="I383" s="6"/>
      <c r="J383" s="6"/>
      <c r="K383" s="7"/>
    </row>
    <row r="384" spans="1:11" x14ac:dyDescent="0.2">
      <c r="A384" s="5">
        <v>10</v>
      </c>
      <c r="B384" s="6">
        <v>200</v>
      </c>
      <c r="C384" s="6">
        <v>20</v>
      </c>
      <c r="D384" s="6">
        <v>200</v>
      </c>
      <c r="E384" s="6">
        <v>81.813411078717195</v>
      </c>
      <c r="F384" s="6">
        <v>0.6071876844834655</v>
      </c>
      <c r="G384" s="6">
        <v>0.53376093911029066</v>
      </c>
      <c r="H384" s="6">
        <v>0.10384109914765959</v>
      </c>
      <c r="I384" s="6"/>
      <c r="J384" s="6"/>
      <c r="K384" s="7"/>
    </row>
    <row r="385" spans="1:11" x14ac:dyDescent="0.2">
      <c r="A385" s="8">
        <v>10</v>
      </c>
      <c r="B385" s="9">
        <v>200</v>
      </c>
      <c r="C385" s="9">
        <v>20</v>
      </c>
      <c r="D385" s="9">
        <v>200</v>
      </c>
      <c r="E385" s="9">
        <v>62.026143790849673</v>
      </c>
      <c r="F385" s="9">
        <v>0.46033419373711576</v>
      </c>
      <c r="G385" s="9"/>
      <c r="H385" s="9"/>
      <c r="I385" s="9"/>
      <c r="J385" s="9"/>
      <c r="K385" s="10"/>
    </row>
    <row r="386" spans="1:11" x14ac:dyDescent="0.2">
      <c r="A386" s="11">
        <v>10</v>
      </c>
      <c r="B386" s="3">
        <v>500</v>
      </c>
      <c r="C386" s="3">
        <v>2</v>
      </c>
      <c r="D386" s="3">
        <v>25</v>
      </c>
      <c r="E386" s="3">
        <v>20.134593891992548</v>
      </c>
      <c r="F386" s="3">
        <v>0.43450162242961216</v>
      </c>
      <c r="G386" s="3">
        <v>0.44894646797658866</v>
      </c>
      <c r="H386" s="3">
        <v>2.0428096478918821E-2</v>
      </c>
      <c r="I386" s="3"/>
      <c r="J386" s="3">
        <f>AVERAGE(E386:E393)</f>
        <v>55.866102394468008</v>
      </c>
      <c r="K386" s="12">
        <f t="shared" ref="K386" si="44">AVERAGE(F386:F393)</f>
        <v>0.66400213176452139</v>
      </c>
    </row>
    <row r="387" spans="1:11" x14ac:dyDescent="0.2">
      <c r="A387" s="5">
        <v>10</v>
      </c>
      <c r="B387" s="6">
        <v>500</v>
      </c>
      <c r="C387" s="6">
        <v>2</v>
      </c>
      <c r="D387" s="6">
        <v>25</v>
      </c>
      <c r="E387" s="6">
        <v>21.47332812867791</v>
      </c>
      <c r="F387" s="6">
        <v>0.46339131352356522</v>
      </c>
      <c r="G387" s="6"/>
      <c r="H387" s="6"/>
      <c r="I387" s="6"/>
      <c r="J387" s="6"/>
      <c r="K387" s="7"/>
    </row>
    <row r="388" spans="1:11" x14ac:dyDescent="0.2">
      <c r="A388" s="5">
        <v>10</v>
      </c>
      <c r="B388" s="6">
        <v>500</v>
      </c>
      <c r="C388" s="6">
        <v>2</v>
      </c>
      <c r="D388" s="6">
        <v>25</v>
      </c>
      <c r="E388" s="6">
        <v>28.890600924499228</v>
      </c>
      <c r="F388" s="6">
        <v>0.81227487768881468</v>
      </c>
      <c r="G388" s="6">
        <v>0.81227487768881468</v>
      </c>
      <c r="H388" s="6"/>
      <c r="I388" s="6"/>
      <c r="J388" s="6"/>
      <c r="K388" s="7"/>
    </row>
    <row r="389" spans="1:11" x14ac:dyDescent="0.2">
      <c r="A389" s="5">
        <v>10</v>
      </c>
      <c r="B389" s="6">
        <v>500</v>
      </c>
      <c r="C389" s="6">
        <v>2</v>
      </c>
      <c r="D389" s="6">
        <v>25</v>
      </c>
      <c r="E389" s="6"/>
      <c r="F389" s="6"/>
      <c r="G389" s="6"/>
      <c r="H389" s="6"/>
      <c r="I389" s="6"/>
      <c r="J389" s="6"/>
      <c r="K389" s="7"/>
    </row>
    <row r="390" spans="1:11" x14ac:dyDescent="0.2">
      <c r="A390" s="5">
        <v>10</v>
      </c>
      <c r="B390" s="6">
        <v>500</v>
      </c>
      <c r="C390" s="6">
        <v>2</v>
      </c>
      <c r="D390" s="6">
        <v>25</v>
      </c>
      <c r="E390" s="6">
        <v>46.842563783447417</v>
      </c>
      <c r="F390" s="6">
        <v>0.53818958626222013</v>
      </c>
      <c r="G390" s="6">
        <v>0.53818958626222013</v>
      </c>
      <c r="H390" s="6"/>
      <c r="I390" s="6"/>
      <c r="J390" s="6"/>
      <c r="K390" s="7"/>
    </row>
    <row r="391" spans="1:11" x14ac:dyDescent="0.2">
      <c r="A391" s="5">
        <v>10</v>
      </c>
      <c r="B391" s="6">
        <v>500</v>
      </c>
      <c r="C391" s="6">
        <v>2</v>
      </c>
      <c r="D391" s="6">
        <v>25</v>
      </c>
      <c r="E391" s="6"/>
      <c r="F391" s="6"/>
      <c r="G391" s="6"/>
      <c r="H391" s="6"/>
      <c r="I391" s="6"/>
      <c r="J391" s="6"/>
      <c r="K391" s="7"/>
    </row>
    <row r="392" spans="1:11" x14ac:dyDescent="0.2">
      <c r="A392" s="5">
        <v>10</v>
      </c>
      <c r="B392" s="6">
        <v>500</v>
      </c>
      <c r="C392" s="6">
        <v>2</v>
      </c>
      <c r="D392" s="6">
        <v>25</v>
      </c>
      <c r="E392" s="6">
        <v>112.75</v>
      </c>
      <c r="F392" s="6">
        <v>0.89827945804755704</v>
      </c>
      <c r="G392" s="6">
        <v>0.86782769534145787</v>
      </c>
      <c r="H392" s="6">
        <v>4.3065295817132671E-2</v>
      </c>
      <c r="I392" s="6"/>
      <c r="J392" s="6"/>
      <c r="K392" s="7"/>
    </row>
    <row r="393" spans="1:11" x14ac:dyDescent="0.2">
      <c r="A393" s="8">
        <v>10</v>
      </c>
      <c r="B393" s="9">
        <v>500</v>
      </c>
      <c r="C393" s="9">
        <v>2</v>
      </c>
      <c r="D393" s="9">
        <v>25</v>
      </c>
      <c r="E393" s="9">
        <v>105.10552763819095</v>
      </c>
      <c r="F393" s="9">
        <v>0.8373759326353587</v>
      </c>
      <c r="G393" s="9"/>
      <c r="H393" s="9"/>
      <c r="I393" s="9"/>
      <c r="J393" s="9"/>
      <c r="K393" s="10"/>
    </row>
    <row r="394" spans="1:11" x14ac:dyDescent="0.2">
      <c r="A394" s="11">
        <v>10</v>
      </c>
      <c r="B394" s="3">
        <v>500</v>
      </c>
      <c r="C394" s="3">
        <v>2</v>
      </c>
      <c r="D394" s="3">
        <v>100</v>
      </c>
      <c r="E394" s="3">
        <v>25.815403292181067</v>
      </c>
      <c r="F394" s="3">
        <v>0.55709266719247408</v>
      </c>
      <c r="G394" s="3">
        <v>0.51138874478589424</v>
      </c>
      <c r="H394" s="3">
        <v>6.4635106921032789E-2</v>
      </c>
      <c r="I394" s="3"/>
      <c r="J394" s="3">
        <f>AVERAGE(E394:E401)</f>
        <v>56.510884996769875</v>
      </c>
      <c r="K394" s="12">
        <f t="shared" ref="K394" si="45">AVERAGE(F394:F401)</f>
        <v>0.66998583047080895</v>
      </c>
    </row>
    <row r="395" spans="1:11" x14ac:dyDescent="0.2">
      <c r="A395" s="5">
        <v>10</v>
      </c>
      <c r="B395" s="6">
        <v>500</v>
      </c>
      <c r="C395" s="6">
        <v>2</v>
      </c>
      <c r="D395" s="6">
        <v>100</v>
      </c>
      <c r="E395" s="6">
        <v>21.579608213755566</v>
      </c>
      <c r="F395" s="6">
        <v>0.46568482237931441</v>
      </c>
      <c r="G395" s="6"/>
      <c r="H395" s="6"/>
      <c r="I395" s="6"/>
      <c r="J395" s="6"/>
      <c r="K395" s="7"/>
    </row>
    <row r="396" spans="1:11" x14ac:dyDescent="0.2">
      <c r="A396" s="5">
        <v>10</v>
      </c>
      <c r="B396" s="6">
        <v>500</v>
      </c>
      <c r="C396" s="6">
        <v>2</v>
      </c>
      <c r="D396" s="6">
        <v>100</v>
      </c>
      <c r="E396" s="6">
        <v>18.709406200735678</v>
      </c>
      <c r="F396" s="6">
        <v>0.52602507898843032</v>
      </c>
      <c r="G396" s="6">
        <v>0.52602507898843032</v>
      </c>
      <c r="H396" s="6"/>
      <c r="I396" s="6"/>
      <c r="J396" s="6"/>
      <c r="K396" s="7"/>
    </row>
    <row r="397" spans="1:11" x14ac:dyDescent="0.2">
      <c r="A397" s="5">
        <v>10</v>
      </c>
      <c r="B397" s="6">
        <v>500</v>
      </c>
      <c r="C397" s="6">
        <v>2</v>
      </c>
      <c r="D397" s="6">
        <v>100</v>
      </c>
      <c r="E397" s="6"/>
      <c r="F397" s="6"/>
      <c r="G397" s="6"/>
      <c r="H397" s="6"/>
      <c r="I397" s="6"/>
      <c r="J397" s="6"/>
      <c r="K397" s="7"/>
    </row>
    <row r="398" spans="1:11" x14ac:dyDescent="0.2">
      <c r="A398" s="5">
        <v>10</v>
      </c>
      <c r="B398" s="6">
        <v>500</v>
      </c>
      <c r="C398" s="6">
        <v>2</v>
      </c>
      <c r="D398" s="6">
        <v>100</v>
      </c>
      <c r="E398" s="6">
        <v>84.158154859967041</v>
      </c>
      <c r="F398" s="6">
        <v>0.96692065690654072</v>
      </c>
      <c r="G398" s="6">
        <v>0.96692065690654072</v>
      </c>
      <c r="H398" s="6"/>
      <c r="I398" s="6"/>
      <c r="J398" s="6"/>
      <c r="K398" s="7"/>
    </row>
    <row r="399" spans="1:11" x14ac:dyDescent="0.2">
      <c r="A399" s="5">
        <v>10</v>
      </c>
      <c r="B399" s="6">
        <v>500</v>
      </c>
      <c r="C399" s="6">
        <v>2</v>
      </c>
      <c r="D399" s="6">
        <v>100</v>
      </c>
      <c r="E399" s="6"/>
      <c r="F399" s="6"/>
      <c r="G399" s="6"/>
      <c r="H399" s="6"/>
      <c r="I399" s="6"/>
      <c r="J399" s="6"/>
      <c r="K399" s="7"/>
    </row>
    <row r="400" spans="1:11" x14ac:dyDescent="0.2">
      <c r="A400" s="5">
        <v>10</v>
      </c>
      <c r="B400" s="6">
        <v>500</v>
      </c>
      <c r="C400" s="6">
        <v>2</v>
      </c>
      <c r="D400" s="6">
        <v>100</v>
      </c>
      <c r="E400" s="6">
        <v>90.933655006031358</v>
      </c>
      <c r="F400" s="6">
        <v>0.7244685972248458</v>
      </c>
      <c r="G400" s="6">
        <v>0.75209587867904704</v>
      </c>
      <c r="H400" s="6">
        <v>3.9070876124029992E-2</v>
      </c>
      <c r="I400" s="6"/>
      <c r="J400" s="6"/>
      <c r="K400" s="7"/>
    </row>
    <row r="401" spans="1:11" x14ac:dyDescent="0.2">
      <c r="A401" s="8">
        <v>10</v>
      </c>
      <c r="B401" s="9">
        <v>500</v>
      </c>
      <c r="C401" s="9">
        <v>2</v>
      </c>
      <c r="D401" s="9">
        <v>100</v>
      </c>
      <c r="E401" s="9">
        <v>97.869082407948568</v>
      </c>
      <c r="F401" s="9">
        <v>0.77972316013324816</v>
      </c>
      <c r="G401" s="9"/>
      <c r="H401" s="9"/>
      <c r="I401" s="9"/>
      <c r="J401" s="9"/>
      <c r="K401" s="10"/>
    </row>
    <row r="402" spans="1:11" x14ac:dyDescent="0.2">
      <c r="A402" s="11">
        <v>10</v>
      </c>
      <c r="B402" s="3">
        <v>500</v>
      </c>
      <c r="C402" s="3">
        <v>2</v>
      </c>
      <c r="D402" s="3">
        <v>200</v>
      </c>
      <c r="E402" s="3">
        <v>25.534424210057857</v>
      </c>
      <c r="F402" s="3">
        <v>0.55102917926188955</v>
      </c>
      <c r="G402" s="3">
        <v>0.44673206556260936</v>
      </c>
      <c r="H402" s="3">
        <v>0.14749839270989082</v>
      </c>
      <c r="I402" s="3"/>
      <c r="J402" s="3">
        <f>AVERAGE(E402:E409)</f>
        <v>61.922742742752469</v>
      </c>
      <c r="K402" s="12">
        <f t="shared" ref="K402" si="46">AVERAGE(F402:F409)</f>
        <v>0.78343741743663164</v>
      </c>
    </row>
    <row r="403" spans="1:11" x14ac:dyDescent="0.2">
      <c r="A403" s="5">
        <v>10</v>
      </c>
      <c r="B403" s="6">
        <v>500</v>
      </c>
      <c r="C403" s="6">
        <v>2</v>
      </c>
      <c r="D403" s="6">
        <v>200</v>
      </c>
      <c r="E403" s="6">
        <v>15.868269148544046</v>
      </c>
      <c r="F403" s="6">
        <v>0.34243495186332912</v>
      </c>
      <c r="G403" s="6"/>
      <c r="H403" s="6"/>
      <c r="I403" s="6"/>
      <c r="J403" s="6"/>
      <c r="K403" s="7"/>
    </row>
    <row r="404" spans="1:11" x14ac:dyDescent="0.2">
      <c r="A404" s="5">
        <v>10</v>
      </c>
      <c r="B404" s="6">
        <v>500</v>
      </c>
      <c r="C404" s="6">
        <v>2</v>
      </c>
      <c r="D404" s="6">
        <v>200</v>
      </c>
      <c r="E404" s="6">
        <v>43.812565445026173</v>
      </c>
      <c r="F404" s="6">
        <v>1.2318139844544851</v>
      </c>
      <c r="G404" s="6">
        <v>1.2318139844544851</v>
      </c>
      <c r="H404" s="6"/>
      <c r="I404" s="6"/>
      <c r="J404" s="6"/>
      <c r="K404" s="7"/>
    </row>
    <row r="405" spans="1:11" x14ac:dyDescent="0.2">
      <c r="A405" s="5">
        <v>10</v>
      </c>
      <c r="B405" s="6">
        <v>500</v>
      </c>
      <c r="C405" s="6">
        <v>2</v>
      </c>
      <c r="D405" s="6">
        <v>200</v>
      </c>
      <c r="E405" s="6"/>
      <c r="F405" s="6"/>
      <c r="G405" s="6"/>
      <c r="H405" s="6"/>
      <c r="I405" s="6"/>
      <c r="J405" s="6"/>
      <c r="K405" s="7"/>
    </row>
    <row r="406" spans="1:11" x14ac:dyDescent="0.2">
      <c r="A406" s="5">
        <v>10</v>
      </c>
      <c r="B406" s="6">
        <v>500</v>
      </c>
      <c r="C406" s="6">
        <v>2</v>
      </c>
      <c r="D406" s="6">
        <v>200</v>
      </c>
      <c r="E406" s="6">
        <v>83.531409168081495</v>
      </c>
      <c r="F406" s="6">
        <v>0.95971976999166386</v>
      </c>
      <c r="G406" s="6">
        <v>0.95971976999166386</v>
      </c>
      <c r="H406" s="6"/>
      <c r="I406" s="6"/>
      <c r="J406" s="6"/>
      <c r="K406" s="7"/>
    </row>
    <row r="407" spans="1:11" x14ac:dyDescent="0.2">
      <c r="A407" s="5">
        <v>10</v>
      </c>
      <c r="B407" s="6">
        <v>500</v>
      </c>
      <c r="C407" s="6">
        <v>2</v>
      </c>
      <c r="D407" s="6">
        <v>200</v>
      </c>
      <c r="E407" s="6"/>
      <c r="F407" s="6"/>
      <c r="G407" s="6"/>
      <c r="H407" s="6"/>
      <c r="I407" s="6"/>
      <c r="J407" s="6"/>
      <c r="K407" s="7"/>
    </row>
    <row r="408" spans="1:11" x14ac:dyDescent="0.2">
      <c r="A408" s="5">
        <v>10</v>
      </c>
      <c r="B408" s="6">
        <v>500</v>
      </c>
      <c r="C408" s="6">
        <v>2</v>
      </c>
      <c r="D408" s="6">
        <v>200</v>
      </c>
      <c r="E408" s="6">
        <v>96.138923654568202</v>
      </c>
      <c r="F408" s="6">
        <v>0.76593898215255862</v>
      </c>
      <c r="G408" s="6">
        <v>0.80781330952421104</v>
      </c>
      <c r="H408" s="6">
        <v>5.921924168424169E-2</v>
      </c>
      <c r="I408" s="6"/>
      <c r="J408" s="6"/>
      <c r="K408" s="7"/>
    </row>
    <row r="409" spans="1:11" x14ac:dyDescent="0.2">
      <c r="A409" s="8">
        <v>10</v>
      </c>
      <c r="B409" s="9">
        <v>500</v>
      </c>
      <c r="C409" s="9">
        <v>2</v>
      </c>
      <c r="D409" s="9">
        <v>200</v>
      </c>
      <c r="E409" s="9">
        <v>106.65086483023704</v>
      </c>
      <c r="F409" s="9">
        <v>0.84968763689586335</v>
      </c>
      <c r="G409" s="9"/>
      <c r="H409" s="9"/>
      <c r="I409" s="9"/>
      <c r="J409" s="9"/>
      <c r="K409" s="10"/>
    </row>
    <row r="410" spans="1:11" x14ac:dyDescent="0.2">
      <c r="A410" s="11">
        <v>10</v>
      </c>
      <c r="B410" s="3">
        <v>500</v>
      </c>
      <c r="C410" s="3">
        <v>5</v>
      </c>
      <c r="D410" s="3">
        <v>25</v>
      </c>
      <c r="E410" s="3"/>
      <c r="F410" s="3"/>
      <c r="G410" s="3"/>
      <c r="H410" s="3"/>
      <c r="I410" s="3"/>
      <c r="J410" s="3">
        <f>AVERAGE(E410:E417)</f>
        <v>49.985726590506651</v>
      </c>
      <c r="K410" s="12">
        <f t="shared" ref="K410" si="47">AVERAGE(F410:F417)</f>
        <v>0.75269073646283013</v>
      </c>
    </row>
    <row r="411" spans="1:11" x14ac:dyDescent="0.2">
      <c r="A411" s="5">
        <v>10</v>
      </c>
      <c r="B411" s="6">
        <v>500</v>
      </c>
      <c r="C411" s="6">
        <v>5</v>
      </c>
      <c r="D411" s="6">
        <v>25</v>
      </c>
      <c r="E411" s="6">
        <v>19.839115516584066</v>
      </c>
      <c r="F411" s="6">
        <v>0.45622878399626426</v>
      </c>
      <c r="G411" s="6"/>
      <c r="H411" s="6"/>
      <c r="I411" s="6"/>
      <c r="J411" s="6"/>
      <c r="K411" s="7"/>
    </row>
    <row r="412" spans="1:11" x14ac:dyDescent="0.2">
      <c r="A412" s="5">
        <v>10</v>
      </c>
      <c r="B412" s="6">
        <v>500</v>
      </c>
      <c r="C412" s="6">
        <v>5</v>
      </c>
      <c r="D412" s="6">
        <v>25</v>
      </c>
      <c r="E412" s="6">
        <v>14.145833333333334</v>
      </c>
      <c r="F412" s="6">
        <v>0.32210344175830991</v>
      </c>
      <c r="G412" s="6">
        <v>0.32210344175830991</v>
      </c>
      <c r="H412" s="6"/>
      <c r="I412" s="6"/>
      <c r="J412" s="6"/>
      <c r="K412" s="7"/>
    </row>
    <row r="413" spans="1:11" x14ac:dyDescent="0.2">
      <c r="A413" s="5">
        <v>10</v>
      </c>
      <c r="B413" s="6">
        <v>500</v>
      </c>
      <c r="C413" s="6">
        <v>5</v>
      </c>
      <c r="D413" s="6">
        <v>25</v>
      </c>
      <c r="E413" s="6"/>
      <c r="F413" s="6"/>
      <c r="G413" s="6"/>
      <c r="H413" s="6"/>
      <c r="I413" s="6"/>
      <c r="J413" s="6"/>
      <c r="K413" s="7"/>
    </row>
    <row r="414" spans="1:11" x14ac:dyDescent="0.2">
      <c r="A414" s="5">
        <v>10</v>
      </c>
      <c r="B414" s="6">
        <v>500</v>
      </c>
      <c r="C414" s="6">
        <v>5</v>
      </c>
      <c r="D414" s="6">
        <v>25</v>
      </c>
      <c r="E414" s="6">
        <v>50.040920716112531</v>
      </c>
      <c r="F414" s="6">
        <v>1.3109045000440118</v>
      </c>
      <c r="G414" s="6">
        <v>1.1661156819844645</v>
      </c>
      <c r="H414" s="6">
        <v>0.20476231017978197</v>
      </c>
      <c r="I414" s="6"/>
      <c r="J414" s="6"/>
      <c r="K414" s="7"/>
    </row>
    <row r="415" spans="1:11" x14ac:dyDescent="0.2">
      <c r="A415" s="5">
        <v>10</v>
      </c>
      <c r="B415" s="6">
        <v>500</v>
      </c>
      <c r="C415" s="6">
        <v>5</v>
      </c>
      <c r="D415" s="6">
        <v>25</v>
      </c>
      <c r="E415" s="6">
        <v>38.986925913509893</v>
      </c>
      <c r="F415" s="6">
        <v>1.0213268639249169</v>
      </c>
      <c r="G415" s="6"/>
      <c r="H415" s="6"/>
      <c r="I415" s="6"/>
      <c r="J415" s="6"/>
      <c r="K415" s="7"/>
    </row>
    <row r="416" spans="1:11" x14ac:dyDescent="0.2">
      <c r="A416" s="5">
        <v>10</v>
      </c>
      <c r="B416" s="6">
        <v>500</v>
      </c>
      <c r="C416" s="6">
        <v>5</v>
      </c>
      <c r="D416" s="6">
        <v>25</v>
      </c>
      <c r="E416" s="6">
        <v>99.222060957910003</v>
      </c>
      <c r="F416" s="6">
        <v>0.78837418674010196</v>
      </c>
      <c r="G416" s="6">
        <v>0.70279041452673918</v>
      </c>
      <c r="H416" s="6">
        <v>0.12103373138318703</v>
      </c>
      <c r="I416" s="6"/>
      <c r="J416" s="6"/>
      <c r="K416" s="7"/>
    </row>
    <row r="417" spans="1:11" x14ac:dyDescent="0.2">
      <c r="A417" s="8">
        <v>10</v>
      </c>
      <c r="B417" s="9">
        <v>500</v>
      </c>
      <c r="C417" s="9">
        <v>5</v>
      </c>
      <c r="D417" s="9">
        <v>25</v>
      </c>
      <c r="E417" s="9">
        <v>77.679503105590058</v>
      </c>
      <c r="F417" s="9">
        <v>0.61720664231337641</v>
      </c>
      <c r="G417" s="9"/>
      <c r="H417" s="9"/>
      <c r="I417" s="9"/>
      <c r="J417" s="9"/>
      <c r="K417" s="10"/>
    </row>
    <row r="418" spans="1:11" x14ac:dyDescent="0.2">
      <c r="A418" s="11">
        <v>10</v>
      </c>
      <c r="B418" s="3">
        <v>500</v>
      </c>
      <c r="C418" s="3">
        <v>5</v>
      </c>
      <c r="D418" s="3">
        <v>100</v>
      </c>
      <c r="E418" s="3"/>
      <c r="F418" s="3"/>
      <c r="G418" s="3"/>
      <c r="H418" s="3"/>
      <c r="I418" s="3"/>
      <c r="J418" s="3">
        <f>AVERAGE(E418:E425)</f>
        <v>54.477983320907356</v>
      </c>
      <c r="K418" s="12">
        <f t="shared" ref="K418" si="48">AVERAGE(F418:F425)</f>
        <v>0.73039173782808742</v>
      </c>
    </row>
    <row r="419" spans="1:11" x14ac:dyDescent="0.2">
      <c r="A419" s="5">
        <v>10</v>
      </c>
      <c r="B419" s="6">
        <v>500</v>
      </c>
      <c r="C419" s="6">
        <v>5</v>
      </c>
      <c r="D419" s="6">
        <v>100</v>
      </c>
      <c r="E419" s="6">
        <v>20.917547568710358</v>
      </c>
      <c r="F419" s="6">
        <v>0.48102886862467864</v>
      </c>
      <c r="G419" s="6"/>
      <c r="H419" s="6"/>
      <c r="I419" s="6"/>
      <c r="J419" s="6"/>
      <c r="K419" s="7"/>
    </row>
    <row r="420" spans="1:11" x14ac:dyDescent="0.2">
      <c r="A420" s="5">
        <v>10</v>
      </c>
      <c r="B420" s="6">
        <v>500</v>
      </c>
      <c r="C420" s="6">
        <v>5</v>
      </c>
      <c r="D420" s="6">
        <v>100</v>
      </c>
      <c r="E420" s="6">
        <v>21.47727272727273</v>
      </c>
      <c r="F420" s="6">
        <v>0.48904177661524101</v>
      </c>
      <c r="G420" s="6">
        <v>0.48904177661524101</v>
      </c>
      <c r="H420" s="6"/>
      <c r="I420" s="6"/>
      <c r="J420" s="6"/>
      <c r="K420" s="7"/>
    </row>
    <row r="421" spans="1:11" x14ac:dyDescent="0.2">
      <c r="A421" s="5">
        <v>10</v>
      </c>
      <c r="B421" s="6">
        <v>500</v>
      </c>
      <c r="C421" s="6">
        <v>5</v>
      </c>
      <c r="D421" s="6">
        <v>100</v>
      </c>
      <c r="E421" s="6"/>
      <c r="F421" s="6"/>
      <c r="G421" s="6"/>
      <c r="H421" s="6"/>
      <c r="I421" s="6"/>
      <c r="J421" s="6"/>
      <c r="K421" s="7"/>
    </row>
    <row r="422" spans="1:11" x14ac:dyDescent="0.2">
      <c r="A422" s="5">
        <v>10</v>
      </c>
      <c r="B422" s="6">
        <v>500</v>
      </c>
      <c r="C422" s="6">
        <v>5</v>
      </c>
      <c r="D422" s="6">
        <v>100</v>
      </c>
      <c r="E422" s="6">
        <v>19.670711708756969</v>
      </c>
      <c r="F422" s="6">
        <v>0.51530675553247862</v>
      </c>
      <c r="G422" s="6">
        <v>0.82674797851289872</v>
      </c>
      <c r="H422" s="6">
        <v>0.44044440142097335</v>
      </c>
      <c r="I422" s="6"/>
      <c r="J422" s="6"/>
      <c r="K422" s="7"/>
    </row>
    <row r="423" spans="1:11" x14ac:dyDescent="0.2">
      <c r="A423" s="5">
        <v>10</v>
      </c>
      <c r="B423" s="6">
        <v>500</v>
      </c>
      <c r="C423" s="6">
        <v>5</v>
      </c>
      <c r="D423" s="6">
        <v>100</v>
      </c>
      <c r="E423" s="6">
        <v>43.447890818858561</v>
      </c>
      <c r="F423" s="6">
        <v>1.1381892014933188</v>
      </c>
      <c r="G423" s="6"/>
      <c r="H423" s="6"/>
      <c r="I423" s="6"/>
      <c r="J423" s="6"/>
      <c r="K423" s="7"/>
    </row>
    <row r="424" spans="1:11" x14ac:dyDescent="0.2">
      <c r="A424" s="5">
        <v>10</v>
      </c>
      <c r="B424" s="6">
        <v>500</v>
      </c>
      <c r="C424" s="6">
        <v>5</v>
      </c>
      <c r="D424" s="6">
        <v>100</v>
      </c>
      <c r="E424" s="6">
        <v>131.10902255639098</v>
      </c>
      <c r="F424" s="6">
        <v>1.0417337438297214</v>
      </c>
      <c r="G424" s="6">
        <v>0.87939191235140335</v>
      </c>
      <c r="H424" s="6">
        <v>0.22958601981712445</v>
      </c>
      <c r="I424" s="6"/>
      <c r="J424" s="6"/>
      <c r="K424" s="7"/>
    </row>
    <row r="425" spans="1:11" x14ac:dyDescent="0.2">
      <c r="A425" s="8">
        <v>10</v>
      </c>
      <c r="B425" s="9">
        <v>500</v>
      </c>
      <c r="C425" s="9">
        <v>5</v>
      </c>
      <c r="D425" s="9">
        <v>100</v>
      </c>
      <c r="E425" s="9">
        <v>90.24545454545455</v>
      </c>
      <c r="F425" s="9">
        <v>0.7170500808730853</v>
      </c>
      <c r="G425" s="9"/>
      <c r="H425" s="9"/>
      <c r="I425" s="9"/>
      <c r="J425" s="9"/>
      <c r="K425" s="10"/>
    </row>
    <row r="426" spans="1:11" x14ac:dyDescent="0.2">
      <c r="A426" s="11">
        <v>10</v>
      </c>
      <c r="B426" s="3">
        <v>500</v>
      </c>
      <c r="C426" s="3">
        <v>5</v>
      </c>
      <c r="D426" s="3">
        <v>200</v>
      </c>
      <c r="E426" s="3"/>
      <c r="F426" s="3"/>
      <c r="G426" s="3"/>
      <c r="H426" s="3"/>
      <c r="I426" s="3"/>
      <c r="J426" s="3">
        <f>AVERAGE(E426:E433)</f>
        <v>60.674320399545515</v>
      </c>
      <c r="K426" s="12">
        <f t="shared" ref="K426" si="49">AVERAGE(F426:F433)</f>
        <v>0.90859079636048679</v>
      </c>
    </row>
    <row r="427" spans="1:11" x14ac:dyDescent="0.2">
      <c r="A427" s="5">
        <v>10</v>
      </c>
      <c r="B427" s="6">
        <v>500</v>
      </c>
      <c r="C427" s="6">
        <v>5</v>
      </c>
      <c r="D427" s="6">
        <v>200</v>
      </c>
      <c r="E427" s="6">
        <v>28.023999999999997</v>
      </c>
      <c r="F427" s="6">
        <v>0.6444518875866051</v>
      </c>
      <c r="G427" s="6"/>
      <c r="H427" s="6"/>
      <c r="I427" s="6"/>
      <c r="J427" s="6"/>
      <c r="K427" s="7"/>
    </row>
    <row r="428" spans="1:11" x14ac:dyDescent="0.2">
      <c r="A428" s="5">
        <v>10</v>
      </c>
      <c r="B428" s="6">
        <v>500</v>
      </c>
      <c r="C428" s="6">
        <v>5</v>
      </c>
      <c r="D428" s="6">
        <v>200</v>
      </c>
      <c r="E428" s="6">
        <v>26.164733178654291</v>
      </c>
      <c r="F428" s="6">
        <v>0.59577618447357117</v>
      </c>
      <c r="G428" s="6">
        <v>0.59577618447357117</v>
      </c>
      <c r="H428" s="6"/>
      <c r="I428" s="6"/>
      <c r="J428" s="6"/>
      <c r="K428" s="7"/>
    </row>
    <row r="429" spans="1:11" x14ac:dyDescent="0.2">
      <c r="A429" s="5">
        <v>10</v>
      </c>
      <c r="B429" s="6">
        <v>500</v>
      </c>
      <c r="C429" s="6">
        <v>5</v>
      </c>
      <c r="D429" s="6">
        <v>200</v>
      </c>
      <c r="E429" s="6"/>
      <c r="F429" s="6"/>
      <c r="G429" s="6"/>
      <c r="H429" s="6"/>
      <c r="I429" s="6"/>
      <c r="J429" s="6"/>
      <c r="K429" s="7"/>
    </row>
    <row r="430" spans="1:11" x14ac:dyDescent="0.2">
      <c r="A430" s="5">
        <v>10</v>
      </c>
      <c r="B430" s="6">
        <v>500</v>
      </c>
      <c r="C430" s="6">
        <v>5</v>
      </c>
      <c r="D430" s="6">
        <v>200</v>
      </c>
      <c r="E430" s="6">
        <v>55.549594510293197</v>
      </c>
      <c r="F430" s="6">
        <v>1.4552133009758215</v>
      </c>
      <c r="G430" s="6">
        <v>1.2554473511829125</v>
      </c>
      <c r="H430" s="6">
        <v>0.28251171549747411</v>
      </c>
      <c r="I430" s="6"/>
      <c r="J430" s="6"/>
      <c r="K430" s="7"/>
    </row>
    <row r="431" spans="1:11" x14ac:dyDescent="0.2">
      <c r="A431" s="5">
        <v>10</v>
      </c>
      <c r="B431" s="6">
        <v>500</v>
      </c>
      <c r="C431" s="6">
        <v>5</v>
      </c>
      <c r="D431" s="6">
        <v>200</v>
      </c>
      <c r="E431" s="6">
        <v>40.298335467349553</v>
      </c>
      <c r="F431" s="6">
        <v>1.0556814013900035</v>
      </c>
      <c r="G431" s="6"/>
      <c r="H431" s="6"/>
      <c r="I431" s="6"/>
      <c r="J431" s="6"/>
      <c r="K431" s="7"/>
    </row>
    <row r="432" spans="1:11" x14ac:dyDescent="0.2">
      <c r="A432" s="5">
        <v>10</v>
      </c>
      <c r="B432" s="6">
        <v>500</v>
      </c>
      <c r="C432" s="6">
        <v>5</v>
      </c>
      <c r="D432" s="6">
        <v>200</v>
      </c>
      <c r="E432" s="6">
        <v>121.86442711457708</v>
      </c>
      <c r="F432" s="6">
        <v>0.96828031681137983</v>
      </c>
      <c r="G432" s="6">
        <v>0.85021100186845988</v>
      </c>
      <c r="H432" s="6">
        <v>0.16697522649237811</v>
      </c>
      <c r="I432" s="6"/>
      <c r="J432" s="6"/>
      <c r="K432" s="7"/>
    </row>
    <row r="433" spans="1:11" x14ac:dyDescent="0.2">
      <c r="A433" s="8">
        <v>10</v>
      </c>
      <c r="B433" s="9">
        <v>500</v>
      </c>
      <c r="C433" s="9">
        <v>5</v>
      </c>
      <c r="D433" s="9">
        <v>200</v>
      </c>
      <c r="E433" s="9">
        <v>92.144832126398938</v>
      </c>
      <c r="F433" s="9">
        <v>0.73214168692553994</v>
      </c>
      <c r="G433" s="9"/>
      <c r="H433" s="9"/>
      <c r="I433" s="9"/>
      <c r="J433" s="9"/>
      <c r="K433" s="10"/>
    </row>
    <row r="434" spans="1:11" x14ac:dyDescent="0.2">
      <c r="A434" s="11">
        <v>10</v>
      </c>
      <c r="B434" s="3">
        <v>500</v>
      </c>
      <c r="C434" s="3">
        <v>20</v>
      </c>
      <c r="D434" s="3">
        <v>25</v>
      </c>
      <c r="E434" s="3">
        <v>33.596638655462186</v>
      </c>
      <c r="F434" s="3">
        <v>0.81614014163727244</v>
      </c>
      <c r="G434" s="3">
        <v>0.73465555547970807</v>
      </c>
      <c r="H434" s="3">
        <v>0.11523660686838695</v>
      </c>
      <c r="I434" s="3"/>
      <c r="J434" s="3">
        <f>AVERAGE(E434:E441)</f>
        <v>37.091936713631192</v>
      </c>
      <c r="K434" s="12">
        <f t="shared" ref="K434" si="50">AVERAGE(F434:F441)</f>
        <v>0.46377032778645777</v>
      </c>
    </row>
    <row r="435" spans="1:11" x14ac:dyDescent="0.2">
      <c r="A435" s="5">
        <v>10</v>
      </c>
      <c r="B435" s="6">
        <v>500</v>
      </c>
      <c r="C435" s="6">
        <v>20</v>
      </c>
      <c r="D435" s="6">
        <v>25</v>
      </c>
      <c r="E435" s="6">
        <v>26.88796680497925</v>
      </c>
      <c r="F435" s="6">
        <v>0.6531709693221438</v>
      </c>
      <c r="G435" s="6"/>
      <c r="H435" s="6"/>
      <c r="I435" s="6"/>
      <c r="J435" s="6"/>
      <c r="K435" s="7"/>
    </row>
    <row r="436" spans="1:11" x14ac:dyDescent="0.2">
      <c r="A436" s="5">
        <v>10</v>
      </c>
      <c r="B436" s="6">
        <v>500</v>
      </c>
      <c r="C436" s="6">
        <v>20</v>
      </c>
      <c r="D436" s="6">
        <v>25</v>
      </c>
      <c r="E436" s="6">
        <v>32.264150943396224</v>
      </c>
      <c r="F436" s="6">
        <v>0.69293172196835162</v>
      </c>
      <c r="G436" s="6">
        <v>0.38800534699035993</v>
      </c>
      <c r="H436" s="6">
        <v>0.43123101501913985</v>
      </c>
      <c r="I436" s="6"/>
      <c r="J436" s="6"/>
      <c r="K436" s="7"/>
    </row>
    <row r="437" spans="1:11" x14ac:dyDescent="0.2">
      <c r="A437" s="5">
        <v>10</v>
      </c>
      <c r="B437" s="6">
        <v>500</v>
      </c>
      <c r="C437" s="6">
        <v>20</v>
      </c>
      <c r="D437" s="6">
        <v>25</v>
      </c>
      <c r="E437" s="6">
        <v>3.8683068017366145</v>
      </c>
      <c r="F437" s="6">
        <v>8.3078972012368246E-2</v>
      </c>
      <c r="G437" s="6"/>
      <c r="H437" s="6"/>
      <c r="I437" s="6"/>
      <c r="J437" s="6"/>
      <c r="K437" s="7"/>
    </row>
    <row r="438" spans="1:11" x14ac:dyDescent="0.2">
      <c r="A438" s="5">
        <v>10</v>
      </c>
      <c r="B438" s="6">
        <v>500</v>
      </c>
      <c r="C438" s="6">
        <v>20</v>
      </c>
      <c r="D438" s="6">
        <v>25</v>
      </c>
      <c r="E438" s="6">
        <v>34.688259109311744</v>
      </c>
      <c r="F438" s="6">
        <v>0.25122769564870101</v>
      </c>
      <c r="G438" s="6">
        <v>0.41151406758097331</v>
      </c>
      <c r="H438" s="6">
        <v>0.22667916105019759</v>
      </c>
      <c r="I438" s="6"/>
      <c r="J438" s="6"/>
      <c r="K438" s="7"/>
    </row>
    <row r="439" spans="1:11" x14ac:dyDescent="0.2">
      <c r="A439" s="5">
        <v>10</v>
      </c>
      <c r="B439" s="6">
        <v>500</v>
      </c>
      <c r="C439" s="6">
        <v>20</v>
      </c>
      <c r="D439" s="6">
        <v>25</v>
      </c>
      <c r="E439" s="6">
        <v>78.951334379905802</v>
      </c>
      <c r="F439" s="6">
        <v>0.57180043951324555</v>
      </c>
      <c r="G439" s="6"/>
      <c r="H439" s="6"/>
      <c r="I439" s="6"/>
      <c r="J439" s="6"/>
      <c r="K439" s="7"/>
    </row>
    <row r="440" spans="1:11" x14ac:dyDescent="0.2">
      <c r="A440" s="5">
        <v>10</v>
      </c>
      <c r="B440" s="6">
        <v>500</v>
      </c>
      <c r="C440" s="6">
        <v>20</v>
      </c>
      <c r="D440" s="6">
        <v>25</v>
      </c>
      <c r="E440" s="6">
        <v>47.589041095890416</v>
      </c>
      <c r="F440" s="6">
        <v>0.35318756776930188</v>
      </c>
      <c r="G440" s="6">
        <v>0.32090634109478999</v>
      </c>
      <c r="H440" s="6">
        <v>4.5652548573134479E-2</v>
      </c>
      <c r="I440" s="6"/>
      <c r="J440" s="6"/>
      <c r="K440" s="7"/>
    </row>
    <row r="441" spans="1:11" x14ac:dyDescent="0.2">
      <c r="A441" s="8">
        <v>10</v>
      </c>
      <c r="B441" s="9">
        <v>500</v>
      </c>
      <c r="C441" s="9">
        <v>20</v>
      </c>
      <c r="D441" s="9">
        <v>25</v>
      </c>
      <c r="E441" s="9">
        <v>38.889795918367348</v>
      </c>
      <c r="F441" s="9">
        <v>0.28862511442027805</v>
      </c>
      <c r="G441" s="9"/>
      <c r="H441" s="9"/>
      <c r="I441" s="9"/>
      <c r="J441" s="9"/>
      <c r="K441" s="10"/>
    </row>
    <row r="442" spans="1:11" x14ac:dyDescent="0.2">
      <c r="A442" s="11">
        <v>10</v>
      </c>
      <c r="B442" s="3">
        <v>500</v>
      </c>
      <c r="C442" s="3">
        <v>20</v>
      </c>
      <c r="D442" s="3">
        <v>100</v>
      </c>
      <c r="E442" s="3">
        <v>37.58620689655173</v>
      </c>
      <c r="F442" s="3">
        <v>0.91305599154551942</v>
      </c>
      <c r="G442" s="3">
        <v>0.75540685807445307</v>
      </c>
      <c r="H442" s="3">
        <v>0.22294954265114778</v>
      </c>
      <c r="I442" s="3"/>
      <c r="J442" s="3">
        <f>AVERAGE(E442:E449)</f>
        <v>41.860724442386299</v>
      </c>
      <c r="K442" s="12">
        <f t="shared" ref="K442" si="51">AVERAGE(F442:F449)</f>
        <v>0.53215276108598708</v>
      </c>
    </row>
    <row r="443" spans="1:11" x14ac:dyDescent="0.2">
      <c r="A443" s="5">
        <v>10</v>
      </c>
      <c r="B443" s="6">
        <v>500</v>
      </c>
      <c r="C443" s="6">
        <v>20</v>
      </c>
      <c r="D443" s="6">
        <v>100</v>
      </c>
      <c r="E443" s="6">
        <v>24.606864988558357</v>
      </c>
      <c r="F443" s="6">
        <v>0.59775772460338661</v>
      </c>
      <c r="G443" s="6"/>
      <c r="H443" s="6"/>
      <c r="I443" s="6"/>
      <c r="J443" s="6"/>
      <c r="K443" s="7"/>
    </row>
    <row r="444" spans="1:11" x14ac:dyDescent="0.2">
      <c r="A444" s="5">
        <v>10</v>
      </c>
      <c r="B444" s="6">
        <v>500</v>
      </c>
      <c r="C444" s="6">
        <v>20</v>
      </c>
      <c r="D444" s="6">
        <v>100</v>
      </c>
      <c r="E444" s="6">
        <v>35.461077844311376</v>
      </c>
      <c r="F444" s="6">
        <v>0.76159158121412851</v>
      </c>
      <c r="G444" s="6">
        <v>0.56879932008651746</v>
      </c>
      <c r="H444" s="6">
        <v>0.27264943040724282</v>
      </c>
      <c r="I444" s="6"/>
      <c r="J444" s="6"/>
      <c r="K444" s="7"/>
    </row>
    <row r="445" spans="1:11" x14ac:dyDescent="0.2">
      <c r="A445" s="5">
        <v>10</v>
      </c>
      <c r="B445" s="6">
        <v>500</v>
      </c>
      <c r="C445" s="6">
        <v>20</v>
      </c>
      <c r="D445" s="6">
        <v>100</v>
      </c>
      <c r="E445" s="6">
        <v>17.507566938300346</v>
      </c>
      <c r="F445" s="6">
        <v>0.37600705895890646</v>
      </c>
      <c r="G445" s="6"/>
      <c r="H445" s="6"/>
      <c r="I445" s="6"/>
      <c r="J445" s="6"/>
      <c r="K445" s="7"/>
    </row>
    <row r="446" spans="1:11" x14ac:dyDescent="0.2">
      <c r="A446" s="5">
        <v>10</v>
      </c>
      <c r="B446" s="6">
        <v>500</v>
      </c>
      <c r="C446" s="6">
        <v>20</v>
      </c>
      <c r="D446" s="6">
        <v>100</v>
      </c>
      <c r="E446" s="6">
        <v>42.743243243243242</v>
      </c>
      <c r="F446" s="6">
        <v>0.30956544895241844</v>
      </c>
      <c r="G446" s="6">
        <v>0.44257117895440812</v>
      </c>
      <c r="H446" s="6">
        <v>0.18809850724214786</v>
      </c>
      <c r="I446" s="6"/>
      <c r="J446" s="6"/>
      <c r="K446" s="7"/>
    </row>
    <row r="447" spans="1:11" x14ac:dyDescent="0.2">
      <c r="A447" s="5">
        <v>10</v>
      </c>
      <c r="B447" s="6">
        <v>500</v>
      </c>
      <c r="C447" s="6">
        <v>20</v>
      </c>
      <c r="D447" s="6">
        <v>100</v>
      </c>
      <c r="E447" s="6">
        <v>79.47277032359905</v>
      </c>
      <c r="F447" s="6">
        <v>0.57557690895639779</v>
      </c>
      <c r="G447" s="6"/>
      <c r="H447" s="6"/>
      <c r="I447" s="6"/>
      <c r="J447" s="6"/>
      <c r="K447" s="7"/>
    </row>
    <row r="448" spans="1:11" x14ac:dyDescent="0.2">
      <c r="A448" s="5">
        <v>10</v>
      </c>
      <c r="B448" s="6">
        <v>500</v>
      </c>
      <c r="C448" s="6">
        <v>20</v>
      </c>
      <c r="D448" s="6">
        <v>100</v>
      </c>
      <c r="E448" s="6">
        <v>53.207547169811328</v>
      </c>
      <c r="F448" s="6">
        <v>0.39488595985807501</v>
      </c>
      <c r="G448" s="6">
        <v>0.36183368722856957</v>
      </c>
      <c r="H448" s="6">
        <v>4.6742972219899634E-2</v>
      </c>
      <c r="I448" s="6"/>
      <c r="J448" s="6"/>
      <c r="K448" s="7"/>
    </row>
    <row r="449" spans="1:11" x14ac:dyDescent="0.2">
      <c r="A449" s="8">
        <v>10</v>
      </c>
      <c r="B449" s="9">
        <v>500</v>
      </c>
      <c r="C449" s="9">
        <v>20</v>
      </c>
      <c r="D449" s="9">
        <v>100</v>
      </c>
      <c r="E449" s="9">
        <v>44.30051813471502</v>
      </c>
      <c r="F449" s="9">
        <v>0.32878141459906413</v>
      </c>
      <c r="G449" s="9"/>
      <c r="H449" s="9"/>
      <c r="I449" s="9"/>
      <c r="J449" s="9"/>
      <c r="K449" s="10"/>
    </row>
    <row r="450" spans="1:11" x14ac:dyDescent="0.2">
      <c r="A450" s="11">
        <v>10</v>
      </c>
      <c r="B450" s="3">
        <v>500</v>
      </c>
      <c r="C450" s="3">
        <v>20</v>
      </c>
      <c r="D450" s="3">
        <v>200</v>
      </c>
      <c r="E450" s="3">
        <v>48.525345622119822</v>
      </c>
      <c r="F450" s="3">
        <v>1.1787929993584547</v>
      </c>
      <c r="G450" s="3">
        <v>0.94472307875572725</v>
      </c>
      <c r="H450" s="3">
        <v>0.33102485625997097</v>
      </c>
      <c r="I450" s="3"/>
      <c r="J450" s="3">
        <f>AVERAGE(E450:E457)</f>
        <v>45.51756663151783</v>
      </c>
      <c r="K450" s="12">
        <f t="shared" ref="K450" si="52">AVERAGE(F450:F457)</f>
        <v>0.60134684078485801</v>
      </c>
    </row>
    <row r="451" spans="1:11" x14ac:dyDescent="0.2">
      <c r="A451" s="5">
        <v>10</v>
      </c>
      <c r="B451" s="6">
        <v>500</v>
      </c>
      <c r="C451" s="6">
        <v>20</v>
      </c>
      <c r="D451" s="6">
        <v>200</v>
      </c>
      <c r="E451" s="6">
        <v>29.254237288135588</v>
      </c>
      <c r="F451" s="6">
        <v>0.71065315815299979</v>
      </c>
      <c r="G451" s="6"/>
      <c r="H451" s="6"/>
      <c r="I451" s="6"/>
      <c r="J451" s="6"/>
      <c r="K451" s="7"/>
    </row>
    <row r="452" spans="1:11" x14ac:dyDescent="0.2">
      <c r="A452" s="5">
        <v>10</v>
      </c>
      <c r="B452" s="6">
        <v>500</v>
      </c>
      <c r="C452" s="6">
        <v>20</v>
      </c>
      <c r="D452" s="6">
        <v>200</v>
      </c>
      <c r="E452" s="6">
        <v>42.161073825503351</v>
      </c>
      <c r="F452" s="6">
        <v>0.90548626359933593</v>
      </c>
      <c r="G452" s="6">
        <v>0.62553733999284411</v>
      </c>
      <c r="H452" s="6">
        <v>0.39590756453605036</v>
      </c>
      <c r="I452" s="6"/>
      <c r="J452" s="6"/>
      <c r="K452" s="7"/>
    </row>
    <row r="453" spans="1:11" x14ac:dyDescent="0.2">
      <c r="A453" s="5">
        <v>10</v>
      </c>
      <c r="B453" s="6">
        <v>500</v>
      </c>
      <c r="C453" s="6">
        <v>20</v>
      </c>
      <c r="D453" s="6">
        <v>200</v>
      </c>
      <c r="E453" s="6">
        <v>16.091220068415051</v>
      </c>
      <c r="F453" s="6">
        <v>0.3455884163863524</v>
      </c>
      <c r="G453" s="6"/>
      <c r="H453" s="6"/>
      <c r="I453" s="6"/>
      <c r="J453" s="6"/>
      <c r="K453" s="7"/>
    </row>
    <row r="454" spans="1:11" x14ac:dyDescent="0.2">
      <c r="A454" s="5">
        <v>10</v>
      </c>
      <c r="B454" s="6">
        <v>500</v>
      </c>
      <c r="C454" s="6">
        <v>20</v>
      </c>
      <c r="D454" s="6">
        <v>200</v>
      </c>
      <c r="E454" s="6">
        <v>37.023364485981311</v>
      </c>
      <c r="F454" s="6">
        <v>0.26813956029514874</v>
      </c>
      <c r="G454" s="6">
        <v>0.45839518458888839</v>
      </c>
      <c r="H454" s="6">
        <v>0.26906208419396677</v>
      </c>
      <c r="I454" s="6"/>
      <c r="J454" s="6"/>
      <c r="K454" s="7"/>
    </row>
    <row r="455" spans="1:11" x14ac:dyDescent="0.2">
      <c r="A455" s="5">
        <v>10</v>
      </c>
      <c r="B455" s="6">
        <v>500</v>
      </c>
      <c r="C455" s="6">
        <v>20</v>
      </c>
      <c r="D455" s="6">
        <v>200</v>
      </c>
      <c r="E455" s="6">
        <v>89.562447611064542</v>
      </c>
      <c r="F455" s="6">
        <v>0.64865080888262805</v>
      </c>
      <c r="G455" s="6"/>
      <c r="H455" s="6"/>
      <c r="I455" s="6"/>
      <c r="J455" s="6"/>
      <c r="K455" s="7"/>
    </row>
    <row r="456" spans="1:11" x14ac:dyDescent="0.2">
      <c r="A456" s="5">
        <v>10</v>
      </c>
      <c r="B456" s="6">
        <v>500</v>
      </c>
      <c r="C456" s="6">
        <v>20</v>
      </c>
      <c r="D456" s="6">
        <v>200</v>
      </c>
      <c r="E456" s="6">
        <v>63.959183673469383</v>
      </c>
      <c r="F456" s="6">
        <v>0.47468047260345897</v>
      </c>
      <c r="G456" s="6">
        <v>0.37673175980197254</v>
      </c>
      <c r="H456" s="6">
        <v>0.13852039806084918</v>
      </c>
      <c r="I456" s="6"/>
      <c r="J456" s="6"/>
      <c r="K456" s="7"/>
    </row>
    <row r="457" spans="1:11" x14ac:dyDescent="0.2">
      <c r="A457" s="8">
        <v>10</v>
      </c>
      <c r="B457" s="9">
        <v>500</v>
      </c>
      <c r="C457" s="9">
        <v>20</v>
      </c>
      <c r="D457" s="9">
        <v>200</v>
      </c>
      <c r="E457" s="9">
        <v>37.563660477453581</v>
      </c>
      <c r="F457" s="9">
        <v>0.27878304700048612</v>
      </c>
      <c r="G457" s="9"/>
      <c r="H457" s="9"/>
      <c r="I457" s="9"/>
      <c r="J457" s="9"/>
      <c r="K457" s="10"/>
    </row>
    <row r="458" spans="1:11" x14ac:dyDescent="0.2">
      <c r="A458" s="11">
        <v>50</v>
      </c>
      <c r="B458" s="3">
        <v>50</v>
      </c>
      <c r="C458" s="3">
        <v>2</v>
      </c>
      <c r="D458" s="3">
        <v>25</v>
      </c>
      <c r="E458" s="3">
        <v>11.089312863401036</v>
      </c>
      <c r="F458" s="3">
        <v>0.23930576681228954</v>
      </c>
      <c r="G458" s="3">
        <v>0.17324849518962082</v>
      </c>
      <c r="H458" s="3">
        <v>9.3419089422141444E-2</v>
      </c>
      <c r="I458" s="3"/>
      <c r="J458" s="3">
        <f>AVERAGE(E458:E465)</f>
        <v>12.538929508657985</v>
      </c>
      <c r="K458" s="12">
        <f t="shared" ref="K458" si="53">AVERAGE(F458:F465)</f>
        <v>0.19315587863100211</v>
      </c>
    </row>
    <row r="459" spans="1:11" x14ac:dyDescent="0.2">
      <c r="A459" s="5">
        <v>50</v>
      </c>
      <c r="B459" s="6">
        <v>50</v>
      </c>
      <c r="C459" s="6">
        <v>2</v>
      </c>
      <c r="D459" s="6">
        <v>25</v>
      </c>
      <c r="E459" s="6">
        <v>4.9671891746641084</v>
      </c>
      <c r="F459" s="6">
        <v>0.1071912235669521</v>
      </c>
      <c r="G459" s="6"/>
      <c r="H459" s="6"/>
      <c r="I459" s="6"/>
      <c r="J459" s="6"/>
      <c r="K459" s="7"/>
    </row>
    <row r="460" spans="1:11" x14ac:dyDescent="0.2">
      <c r="A460" s="5">
        <v>50</v>
      </c>
      <c r="B460" s="6">
        <v>50</v>
      </c>
      <c r="C460" s="6">
        <v>2</v>
      </c>
      <c r="D460" s="6">
        <v>25</v>
      </c>
      <c r="E460" s="6">
        <v>14.431805632247375</v>
      </c>
      <c r="F460" s="6">
        <v>0.40575802439684544</v>
      </c>
      <c r="G460" s="6">
        <v>0.40575802439684544</v>
      </c>
      <c r="H460" s="6"/>
      <c r="I460" s="6"/>
      <c r="J460" s="6"/>
      <c r="K460" s="7"/>
    </row>
    <row r="461" spans="1:11" x14ac:dyDescent="0.2">
      <c r="A461" s="5">
        <v>50</v>
      </c>
      <c r="B461" s="6">
        <v>50</v>
      </c>
      <c r="C461" s="6">
        <v>2</v>
      </c>
      <c r="D461" s="6">
        <v>25</v>
      </c>
      <c r="E461" s="6"/>
      <c r="F461" s="6"/>
      <c r="G461" s="6"/>
      <c r="H461" s="6"/>
      <c r="I461" s="6"/>
      <c r="J461" s="6"/>
      <c r="K461" s="7"/>
    </row>
    <row r="462" spans="1:11" x14ac:dyDescent="0.2">
      <c r="A462" s="5">
        <v>50</v>
      </c>
      <c r="B462" s="6">
        <v>50</v>
      </c>
      <c r="C462" s="6">
        <v>2</v>
      </c>
      <c r="D462" s="6">
        <v>25</v>
      </c>
      <c r="E462" s="6">
        <v>14.250415512465374</v>
      </c>
      <c r="F462" s="6">
        <v>0.16372769996480377</v>
      </c>
      <c r="G462" s="6">
        <v>0.16372769996480377</v>
      </c>
      <c r="H462" s="6"/>
      <c r="I462" s="6"/>
      <c r="J462" s="6"/>
      <c r="K462" s="7"/>
    </row>
    <row r="463" spans="1:11" x14ac:dyDescent="0.2">
      <c r="A463" s="5">
        <v>50</v>
      </c>
      <c r="B463" s="6">
        <v>50</v>
      </c>
      <c r="C463" s="6">
        <v>2</v>
      </c>
      <c r="D463" s="6">
        <v>25</v>
      </c>
      <c r="E463" s="6"/>
      <c r="F463" s="6"/>
      <c r="G463" s="6"/>
      <c r="H463" s="6"/>
      <c r="I463" s="6"/>
      <c r="J463" s="6"/>
      <c r="K463" s="7"/>
    </row>
    <row r="464" spans="1:11" x14ac:dyDescent="0.2">
      <c r="A464" s="5">
        <v>50</v>
      </c>
      <c r="B464" s="6">
        <v>50</v>
      </c>
      <c r="C464" s="6">
        <v>2</v>
      </c>
      <c r="D464" s="6">
        <v>25</v>
      </c>
      <c r="E464" s="6">
        <v>12.482474226804126</v>
      </c>
      <c r="F464" s="6">
        <v>9.9447895197749075E-2</v>
      </c>
      <c r="G464" s="6">
        <v>0.12147627852256092</v>
      </c>
      <c r="H464" s="6">
        <v>3.1152838455102274E-2</v>
      </c>
      <c r="I464" s="6"/>
      <c r="J464" s="6"/>
      <c r="K464" s="7"/>
    </row>
    <row r="465" spans="1:11" x14ac:dyDescent="0.2">
      <c r="A465" s="8">
        <v>50</v>
      </c>
      <c r="B465" s="9">
        <v>50</v>
      </c>
      <c r="C465" s="9">
        <v>2</v>
      </c>
      <c r="D465" s="9">
        <v>25</v>
      </c>
      <c r="E465" s="9">
        <v>18.01237964236589</v>
      </c>
      <c r="F465" s="9">
        <v>0.14350466184737276</v>
      </c>
      <c r="G465" s="9"/>
      <c r="H465" s="9"/>
      <c r="I465" s="9"/>
      <c r="J465" s="9"/>
      <c r="K465" s="10"/>
    </row>
    <row r="466" spans="1:11" x14ac:dyDescent="0.2">
      <c r="A466" s="11">
        <v>50</v>
      </c>
      <c r="B466" s="3">
        <v>50</v>
      </c>
      <c r="C466" s="3">
        <v>2</v>
      </c>
      <c r="D466" s="3">
        <v>100</v>
      </c>
      <c r="E466" s="3">
        <v>4.8286153780798653</v>
      </c>
      <c r="F466" s="3">
        <v>0.10420082109024606</v>
      </c>
      <c r="G466" s="3">
        <v>0.20103012680055948</v>
      </c>
      <c r="H466" s="3">
        <v>0.13693731737069575</v>
      </c>
      <c r="I466" s="3"/>
      <c r="J466" s="3">
        <f>AVERAGE(E466:E473)</f>
        <v>12.416022263060542</v>
      </c>
      <c r="K466" s="12">
        <f t="shared" ref="K466" si="54">AVERAGE(F466:F473)</f>
        <v>0.17427834554459198</v>
      </c>
    </row>
    <row r="467" spans="1:11" x14ac:dyDescent="0.2">
      <c r="A467" s="5">
        <v>50</v>
      </c>
      <c r="B467" s="6">
        <v>50</v>
      </c>
      <c r="C467" s="6">
        <v>2</v>
      </c>
      <c r="D467" s="6">
        <v>100</v>
      </c>
      <c r="E467" s="6">
        <v>13.802661258134489</v>
      </c>
      <c r="F467" s="6">
        <v>0.29785943251087288</v>
      </c>
      <c r="G467" s="6"/>
      <c r="H467" s="6"/>
      <c r="I467" s="6"/>
      <c r="J467" s="6"/>
      <c r="K467" s="7"/>
    </row>
    <row r="468" spans="1:11" x14ac:dyDescent="0.2">
      <c r="A468" s="5">
        <v>50</v>
      </c>
      <c r="B468" s="6">
        <v>50</v>
      </c>
      <c r="C468" s="6">
        <v>2</v>
      </c>
      <c r="D468" s="6">
        <v>100</v>
      </c>
      <c r="E468" s="6">
        <v>6.7598684210526319</v>
      </c>
      <c r="F468" s="6">
        <v>0.19005735842090943</v>
      </c>
      <c r="G468" s="6">
        <v>0.19005735842090943</v>
      </c>
      <c r="H468" s="6"/>
      <c r="I468" s="6"/>
      <c r="J468" s="6"/>
      <c r="K468" s="7"/>
    </row>
    <row r="469" spans="1:11" x14ac:dyDescent="0.2">
      <c r="A469" s="5">
        <v>50</v>
      </c>
      <c r="B469" s="6">
        <v>50</v>
      </c>
      <c r="C469" s="6">
        <v>2</v>
      </c>
      <c r="D469" s="6">
        <v>100</v>
      </c>
      <c r="E469" s="6"/>
      <c r="F469" s="6"/>
      <c r="G469" s="6"/>
      <c r="H469" s="6"/>
      <c r="I469" s="6"/>
      <c r="J469" s="6"/>
      <c r="K469" s="7"/>
    </row>
    <row r="470" spans="1:11" x14ac:dyDescent="0.2">
      <c r="A470" s="5">
        <v>50</v>
      </c>
      <c r="B470" s="6">
        <v>50</v>
      </c>
      <c r="C470" s="6">
        <v>2</v>
      </c>
      <c r="D470" s="6">
        <v>100</v>
      </c>
      <c r="E470" s="6">
        <v>17.696522655426765</v>
      </c>
      <c r="F470" s="6">
        <v>0.203321155738483</v>
      </c>
      <c r="G470" s="6">
        <v>0.203321155738483</v>
      </c>
      <c r="H470" s="6"/>
      <c r="I470" s="6"/>
      <c r="J470" s="6"/>
      <c r="K470" s="7"/>
    </row>
    <row r="471" spans="1:11" x14ac:dyDescent="0.2">
      <c r="A471" s="5">
        <v>50</v>
      </c>
      <c r="B471" s="6">
        <v>50</v>
      </c>
      <c r="C471" s="6">
        <v>2</v>
      </c>
      <c r="D471" s="6">
        <v>100</v>
      </c>
      <c r="E471" s="6"/>
      <c r="F471" s="6"/>
      <c r="G471" s="6"/>
      <c r="H471" s="6"/>
      <c r="I471" s="6"/>
      <c r="J471" s="6"/>
      <c r="K471" s="7"/>
    </row>
    <row r="472" spans="1:11" x14ac:dyDescent="0.2">
      <c r="A472" s="5">
        <v>50</v>
      </c>
      <c r="B472" s="6">
        <v>50</v>
      </c>
      <c r="C472" s="6">
        <v>2</v>
      </c>
      <c r="D472" s="6">
        <v>100</v>
      </c>
      <c r="E472" s="6">
        <v>15.671193709792711</v>
      </c>
      <c r="F472" s="6">
        <v>0.12485242920257987</v>
      </c>
      <c r="G472" s="6">
        <v>0.12511565275352021</v>
      </c>
      <c r="H472" s="6">
        <v>3.7225431567584655E-4</v>
      </c>
      <c r="I472" s="6"/>
      <c r="J472" s="6"/>
      <c r="K472" s="7"/>
    </row>
    <row r="473" spans="1:11" x14ac:dyDescent="0.2">
      <c r="A473" s="8">
        <v>50</v>
      </c>
      <c r="B473" s="9">
        <v>50</v>
      </c>
      <c r="C473" s="9">
        <v>2</v>
      </c>
      <c r="D473" s="9">
        <v>100</v>
      </c>
      <c r="E473" s="9">
        <v>15.737272155876807</v>
      </c>
      <c r="F473" s="9">
        <v>0.12537887630446057</v>
      </c>
      <c r="G473" s="9"/>
      <c r="H473" s="9"/>
      <c r="I473" s="9"/>
      <c r="J473" s="9"/>
      <c r="K473" s="10"/>
    </row>
    <row r="474" spans="1:11" x14ac:dyDescent="0.2">
      <c r="A474" s="11">
        <v>50</v>
      </c>
      <c r="B474" s="3">
        <v>50</v>
      </c>
      <c r="C474" s="3">
        <v>2</v>
      </c>
      <c r="D474" s="3">
        <v>200</v>
      </c>
      <c r="E474" s="3">
        <v>10.739242529198549</v>
      </c>
      <c r="F474" s="3">
        <v>0.23175129966031244</v>
      </c>
      <c r="G474" s="3">
        <v>0.24114348721837295</v>
      </c>
      <c r="H474" s="3">
        <v>1.3282559024961015E-2</v>
      </c>
      <c r="I474" s="3"/>
      <c r="J474" s="3">
        <f>AVERAGE(E474:E481)</f>
        <v>11.829295334561122</v>
      </c>
      <c r="K474" s="12">
        <f t="shared" ref="K474" si="55">AVERAGE(F474:F481)</f>
        <v>0.17443508675680952</v>
      </c>
    </row>
    <row r="475" spans="1:11" x14ac:dyDescent="0.2">
      <c r="A475" s="5">
        <v>50</v>
      </c>
      <c r="B475" s="6">
        <v>50</v>
      </c>
      <c r="C475" s="6">
        <v>2</v>
      </c>
      <c r="D475" s="6">
        <v>200</v>
      </c>
      <c r="E475" s="6">
        <v>11.609701337529504</v>
      </c>
      <c r="F475" s="6">
        <v>0.25053567477643346</v>
      </c>
      <c r="G475" s="6"/>
      <c r="H475" s="6"/>
      <c r="I475" s="6"/>
      <c r="J475" s="6"/>
      <c r="K475" s="7"/>
    </row>
    <row r="476" spans="1:11" x14ac:dyDescent="0.2">
      <c r="A476" s="5">
        <v>50</v>
      </c>
      <c r="B476" s="6">
        <v>50</v>
      </c>
      <c r="C476" s="6">
        <v>2</v>
      </c>
      <c r="D476" s="6">
        <v>200</v>
      </c>
      <c r="E476" s="6">
        <v>6.7206521739130451</v>
      </c>
      <c r="F476" s="6">
        <v>0.188954772412679</v>
      </c>
      <c r="G476" s="6">
        <v>0.188954772412679</v>
      </c>
      <c r="H476" s="6"/>
      <c r="I476" s="6"/>
      <c r="J476" s="6"/>
      <c r="K476" s="7"/>
    </row>
    <row r="477" spans="1:11" x14ac:dyDescent="0.2">
      <c r="A477" s="5">
        <v>50</v>
      </c>
      <c r="B477" s="6">
        <v>50</v>
      </c>
      <c r="C477" s="6">
        <v>2</v>
      </c>
      <c r="D477" s="6">
        <v>200</v>
      </c>
      <c r="E477" s="6"/>
      <c r="F477" s="6"/>
      <c r="G477" s="6"/>
      <c r="H477" s="6"/>
      <c r="I477" s="6"/>
      <c r="J477" s="6"/>
      <c r="K477" s="7"/>
    </row>
    <row r="478" spans="1:11" x14ac:dyDescent="0.2">
      <c r="A478" s="5">
        <v>50</v>
      </c>
      <c r="B478" s="6">
        <v>50</v>
      </c>
      <c r="C478" s="6">
        <v>2</v>
      </c>
      <c r="D478" s="6">
        <v>200</v>
      </c>
      <c r="E478" s="6">
        <v>11.782608695652174</v>
      </c>
      <c r="F478" s="6">
        <v>0.13537425765844768</v>
      </c>
      <c r="G478" s="6">
        <v>0.13537425765844768</v>
      </c>
      <c r="H478" s="6"/>
      <c r="I478" s="6"/>
      <c r="J478" s="6"/>
      <c r="K478" s="7"/>
    </row>
    <row r="479" spans="1:11" x14ac:dyDescent="0.2">
      <c r="A479" s="5">
        <v>50</v>
      </c>
      <c r="B479" s="6">
        <v>50</v>
      </c>
      <c r="C479" s="6">
        <v>2</v>
      </c>
      <c r="D479" s="6">
        <v>200</v>
      </c>
      <c r="E479" s="6"/>
      <c r="F479" s="6"/>
      <c r="G479" s="6"/>
      <c r="H479" s="6"/>
      <c r="I479" s="6"/>
      <c r="J479" s="6"/>
      <c r="K479" s="7"/>
    </row>
    <row r="480" spans="1:11" x14ac:dyDescent="0.2">
      <c r="A480" s="5">
        <v>50</v>
      </c>
      <c r="B480" s="6">
        <v>50</v>
      </c>
      <c r="C480" s="6">
        <v>2</v>
      </c>
      <c r="D480" s="6">
        <v>200</v>
      </c>
      <c r="E480" s="6">
        <v>15.035019455252916</v>
      </c>
      <c r="F480" s="6">
        <v>0.1197840277427855</v>
      </c>
      <c r="G480" s="6">
        <v>0.11999725801649221</v>
      </c>
      <c r="H480" s="6">
        <v>3.0155314498454925E-4</v>
      </c>
      <c r="I480" s="6"/>
      <c r="J480" s="6"/>
      <c r="K480" s="7"/>
    </row>
    <row r="481" spans="1:11" x14ac:dyDescent="0.2">
      <c r="A481" s="8">
        <v>50</v>
      </c>
      <c r="B481" s="9">
        <v>50</v>
      </c>
      <c r="C481" s="9">
        <v>2</v>
      </c>
      <c r="D481" s="9">
        <v>200</v>
      </c>
      <c r="E481" s="9">
        <v>15.088547815820542</v>
      </c>
      <c r="F481" s="9">
        <v>0.12021048829019891</v>
      </c>
      <c r="G481" s="9"/>
      <c r="H481" s="9"/>
      <c r="I481" s="9"/>
      <c r="J481" s="9"/>
      <c r="K481" s="10"/>
    </row>
    <row r="482" spans="1:11" x14ac:dyDescent="0.2">
      <c r="A482" s="11">
        <v>50</v>
      </c>
      <c r="B482" s="3">
        <v>50</v>
      </c>
      <c r="C482" s="3">
        <v>5</v>
      </c>
      <c r="D482" s="3">
        <v>25</v>
      </c>
      <c r="E482" s="3"/>
      <c r="F482" s="3"/>
      <c r="G482" s="3"/>
      <c r="H482" s="3"/>
      <c r="I482" s="3"/>
      <c r="J482" s="3">
        <f>AVERAGE(E482:E489)</f>
        <v>18.936755969282466</v>
      </c>
      <c r="K482" s="12">
        <f t="shared" ref="K482" si="56">AVERAGE(F482:F489)</f>
        <v>0.32380906826690697</v>
      </c>
    </row>
    <row r="483" spans="1:11" x14ac:dyDescent="0.2">
      <c r="A483" s="5">
        <v>50</v>
      </c>
      <c r="B483" s="6">
        <v>50</v>
      </c>
      <c r="C483" s="6">
        <v>5</v>
      </c>
      <c r="D483" s="6">
        <v>25</v>
      </c>
      <c r="E483" s="6">
        <v>10.319908814589663</v>
      </c>
      <c r="F483" s="6">
        <v>0.23732103608635291</v>
      </c>
      <c r="G483" s="6"/>
      <c r="H483" s="6"/>
      <c r="I483" s="6"/>
      <c r="J483" s="6"/>
      <c r="K483" s="7"/>
    </row>
    <row r="484" spans="1:11" x14ac:dyDescent="0.2">
      <c r="A484" s="5">
        <v>50</v>
      </c>
      <c r="B484" s="6">
        <v>50</v>
      </c>
      <c r="C484" s="6">
        <v>5</v>
      </c>
      <c r="D484" s="6">
        <v>25</v>
      </c>
      <c r="E484" s="6">
        <v>26.719951189749846</v>
      </c>
      <c r="F484" s="6">
        <v>0.60841860914279633</v>
      </c>
      <c r="G484" s="6">
        <v>0.60841860914279633</v>
      </c>
      <c r="H484" s="6"/>
      <c r="I484" s="6"/>
      <c r="J484" s="6"/>
      <c r="K484" s="7"/>
    </row>
    <row r="485" spans="1:11" x14ac:dyDescent="0.2">
      <c r="A485" s="5">
        <v>50</v>
      </c>
      <c r="B485" s="6">
        <v>50</v>
      </c>
      <c r="C485" s="6">
        <v>5</v>
      </c>
      <c r="D485" s="6">
        <v>25</v>
      </c>
      <c r="E485" s="6"/>
      <c r="F485" s="6"/>
      <c r="G485" s="6"/>
      <c r="H485" s="6"/>
      <c r="I485" s="6"/>
      <c r="J485" s="6"/>
      <c r="K485" s="7"/>
    </row>
    <row r="486" spans="1:11" x14ac:dyDescent="0.2">
      <c r="A486" s="5">
        <v>50</v>
      </c>
      <c r="B486" s="6">
        <v>50</v>
      </c>
      <c r="C486" s="6">
        <v>5</v>
      </c>
      <c r="D486" s="6">
        <v>25</v>
      </c>
      <c r="E486" s="6">
        <v>13.880746169220519</v>
      </c>
      <c r="F486" s="6">
        <v>0.36362905311893817</v>
      </c>
      <c r="G486" s="6">
        <v>0.35068310747093645</v>
      </c>
      <c r="H486" s="6">
        <v>1.8308331913148981E-2</v>
      </c>
      <c r="I486" s="6"/>
      <c r="J486" s="6"/>
      <c r="K486" s="7"/>
    </row>
    <row r="487" spans="1:11" x14ac:dyDescent="0.2">
      <c r="A487" s="5">
        <v>50</v>
      </c>
      <c r="B487" s="6">
        <v>50</v>
      </c>
      <c r="C487" s="6">
        <v>5</v>
      </c>
      <c r="D487" s="6">
        <v>25</v>
      </c>
      <c r="E487" s="6">
        <v>12.892379679144383</v>
      </c>
      <c r="F487" s="6">
        <v>0.33773716182293473</v>
      </c>
      <c r="G487" s="6"/>
      <c r="H487" s="6"/>
      <c r="I487" s="6"/>
      <c r="J487" s="6"/>
      <c r="K487" s="7"/>
    </row>
    <row r="488" spans="1:11" x14ac:dyDescent="0.2">
      <c r="A488" s="5">
        <v>50</v>
      </c>
      <c r="B488" s="6">
        <v>50</v>
      </c>
      <c r="C488" s="6">
        <v>5</v>
      </c>
      <c r="D488" s="6">
        <v>25</v>
      </c>
      <c r="E488" s="6">
        <v>24</v>
      </c>
      <c r="F488" s="6">
        <v>0.19069328231136751</v>
      </c>
      <c r="G488" s="6">
        <v>0.19787427471520969</v>
      </c>
      <c r="H488" s="6">
        <v>1.0155456848811804E-2</v>
      </c>
      <c r="I488" s="6"/>
      <c r="J488" s="6"/>
      <c r="K488" s="7"/>
    </row>
    <row r="489" spans="1:11" x14ac:dyDescent="0.2">
      <c r="A489" s="8">
        <v>50</v>
      </c>
      <c r="B489" s="9">
        <v>50</v>
      </c>
      <c r="C489" s="9">
        <v>5</v>
      </c>
      <c r="D489" s="9">
        <v>25</v>
      </c>
      <c r="E489" s="9">
        <v>25.807549962990375</v>
      </c>
      <c r="F489" s="9">
        <v>0.20505526711905189</v>
      </c>
      <c r="G489" s="9"/>
      <c r="H489" s="9"/>
      <c r="I489" s="9"/>
      <c r="J489" s="9"/>
      <c r="K489" s="10"/>
    </row>
    <row r="490" spans="1:11" x14ac:dyDescent="0.2">
      <c r="A490" s="11">
        <v>50</v>
      </c>
      <c r="B490" s="3">
        <v>50</v>
      </c>
      <c r="C490" s="3">
        <v>5</v>
      </c>
      <c r="D490" s="3">
        <v>100</v>
      </c>
      <c r="E490" s="3"/>
      <c r="F490" s="3"/>
      <c r="G490" s="3"/>
      <c r="H490" s="3"/>
      <c r="I490" s="3"/>
      <c r="J490" s="3">
        <f>AVERAGE(E490:E497)</f>
        <v>17.127072436208628</v>
      </c>
      <c r="K490" s="12">
        <f t="shared" ref="K490" si="57">AVERAGE(F490:F497)</f>
        <v>0.29722958151177431</v>
      </c>
    </row>
    <row r="491" spans="1:11" x14ac:dyDescent="0.2">
      <c r="A491" s="5">
        <v>50</v>
      </c>
      <c r="B491" s="6">
        <v>50</v>
      </c>
      <c r="C491" s="6">
        <v>5</v>
      </c>
      <c r="D491" s="6">
        <v>100</v>
      </c>
      <c r="E491" s="6">
        <v>10.021398547955673</v>
      </c>
      <c r="F491" s="6">
        <v>0.23045636634626385</v>
      </c>
      <c r="G491" s="6"/>
      <c r="H491" s="6"/>
      <c r="I491" s="6"/>
      <c r="J491" s="6"/>
      <c r="K491" s="7"/>
    </row>
    <row r="492" spans="1:11" x14ac:dyDescent="0.2">
      <c r="A492" s="5">
        <v>50</v>
      </c>
      <c r="B492" s="6">
        <v>50</v>
      </c>
      <c r="C492" s="6">
        <v>5</v>
      </c>
      <c r="D492" s="6">
        <v>100</v>
      </c>
      <c r="E492" s="6">
        <v>24.571278274592323</v>
      </c>
      <c r="F492" s="6">
        <v>0.55949289901483645</v>
      </c>
      <c r="G492" s="6">
        <v>0.55949289901483645</v>
      </c>
      <c r="H492" s="6"/>
      <c r="I492" s="6"/>
      <c r="J492" s="6"/>
      <c r="K492" s="7"/>
    </row>
    <row r="493" spans="1:11" x14ac:dyDescent="0.2">
      <c r="A493" s="5">
        <v>50</v>
      </c>
      <c r="B493" s="6">
        <v>50</v>
      </c>
      <c r="C493" s="6">
        <v>5</v>
      </c>
      <c r="D493" s="6">
        <v>100</v>
      </c>
      <c r="E493" s="6"/>
      <c r="F493" s="6"/>
      <c r="G493" s="6"/>
      <c r="H493" s="6"/>
      <c r="I493" s="6"/>
      <c r="J493" s="6"/>
      <c r="K493" s="7"/>
    </row>
    <row r="494" spans="1:11" x14ac:dyDescent="0.2">
      <c r="A494" s="5">
        <v>50</v>
      </c>
      <c r="B494" s="6">
        <v>50</v>
      </c>
      <c r="C494" s="6">
        <v>5</v>
      </c>
      <c r="D494" s="6">
        <v>100</v>
      </c>
      <c r="E494" s="6">
        <v>12.623606557377048</v>
      </c>
      <c r="F494" s="6">
        <v>0.33069620634542635</v>
      </c>
      <c r="G494" s="6">
        <v>0.32423172015084145</v>
      </c>
      <c r="H494" s="6">
        <v>9.142164050155558E-3</v>
      </c>
      <c r="I494" s="6"/>
      <c r="J494" s="6"/>
      <c r="K494" s="7"/>
    </row>
    <row r="495" spans="1:11" x14ac:dyDescent="0.2">
      <c r="A495" s="5">
        <v>50</v>
      </c>
      <c r="B495" s="6">
        <v>50</v>
      </c>
      <c r="C495" s="6">
        <v>5</v>
      </c>
      <c r="D495" s="6">
        <v>100</v>
      </c>
      <c r="E495" s="6">
        <v>12.130071229482812</v>
      </c>
      <c r="F495" s="6">
        <v>0.31776723395625661</v>
      </c>
      <c r="G495" s="6"/>
      <c r="H495" s="6"/>
      <c r="I495" s="6"/>
      <c r="J495" s="6"/>
      <c r="K495" s="7"/>
    </row>
    <row r="496" spans="1:11" x14ac:dyDescent="0.2">
      <c r="A496" s="5">
        <v>50</v>
      </c>
      <c r="B496" s="6">
        <v>50</v>
      </c>
      <c r="C496" s="6">
        <v>5</v>
      </c>
      <c r="D496" s="6">
        <v>100</v>
      </c>
      <c r="E496" s="6">
        <v>22.761702127659582</v>
      </c>
      <c r="F496" s="6">
        <v>0.18085432040487678</v>
      </c>
      <c r="G496" s="6">
        <v>0.1724823917039312</v>
      </c>
      <c r="H496" s="6">
        <v>1.1839695112097806E-2</v>
      </c>
      <c r="I496" s="6"/>
      <c r="J496" s="6"/>
      <c r="K496" s="7"/>
    </row>
    <row r="497" spans="1:11" x14ac:dyDescent="0.2">
      <c r="A497" s="8">
        <v>50</v>
      </c>
      <c r="B497" s="9">
        <v>50</v>
      </c>
      <c r="C497" s="9">
        <v>5</v>
      </c>
      <c r="D497" s="9">
        <v>100</v>
      </c>
      <c r="E497" s="9">
        <v>20.654377880184331</v>
      </c>
      <c r="F497" s="9">
        <v>0.16411046300298562</v>
      </c>
      <c r="G497" s="9"/>
      <c r="H497" s="9"/>
      <c r="I497" s="9"/>
      <c r="J497" s="9"/>
      <c r="K497" s="10"/>
    </row>
    <row r="498" spans="1:11" x14ac:dyDescent="0.2">
      <c r="A498" s="11">
        <v>50</v>
      </c>
      <c r="B498" s="3">
        <v>50</v>
      </c>
      <c r="C498" s="3">
        <v>5</v>
      </c>
      <c r="D498" s="3">
        <v>200</v>
      </c>
      <c r="E498" s="3"/>
      <c r="F498" s="3"/>
      <c r="G498" s="3"/>
      <c r="H498" s="3"/>
      <c r="I498" s="3"/>
      <c r="J498" s="3">
        <f>AVERAGE(E498:E505)</f>
        <v>16.793128206924717</v>
      </c>
      <c r="K498" s="12">
        <f t="shared" ref="K498" si="58">AVERAGE(F498:F505)</f>
        <v>0.28668866130411619</v>
      </c>
    </row>
    <row r="499" spans="1:11" x14ac:dyDescent="0.2">
      <c r="A499" s="5">
        <v>50</v>
      </c>
      <c r="B499" s="6">
        <v>50</v>
      </c>
      <c r="C499" s="6">
        <v>5</v>
      </c>
      <c r="D499" s="6">
        <v>200</v>
      </c>
      <c r="E499" s="6">
        <v>10.756525126606933</v>
      </c>
      <c r="F499" s="6">
        <v>0.2473616515028042</v>
      </c>
      <c r="G499" s="6"/>
      <c r="H499" s="6"/>
      <c r="I499" s="6"/>
      <c r="J499" s="6"/>
      <c r="K499" s="7"/>
    </row>
    <row r="500" spans="1:11" x14ac:dyDescent="0.2">
      <c r="A500" s="5">
        <v>50</v>
      </c>
      <c r="B500" s="6">
        <v>50</v>
      </c>
      <c r="C500" s="6">
        <v>5</v>
      </c>
      <c r="D500" s="6">
        <v>200</v>
      </c>
      <c r="E500" s="6">
        <v>20.618746405980449</v>
      </c>
      <c r="F500" s="6">
        <v>0.4694929613272284</v>
      </c>
      <c r="G500" s="6">
        <v>0.4694929613272284</v>
      </c>
      <c r="H500" s="6"/>
      <c r="I500" s="6"/>
      <c r="J500" s="6"/>
      <c r="K500" s="7"/>
    </row>
    <row r="501" spans="1:11" x14ac:dyDescent="0.2">
      <c r="A501" s="5">
        <v>50</v>
      </c>
      <c r="B501" s="6">
        <v>50</v>
      </c>
      <c r="C501" s="6">
        <v>5</v>
      </c>
      <c r="D501" s="6">
        <v>200</v>
      </c>
      <c r="E501" s="6"/>
      <c r="F501" s="6"/>
      <c r="G501" s="6"/>
      <c r="H501" s="6"/>
      <c r="I501" s="6"/>
      <c r="J501" s="6"/>
      <c r="K501" s="7"/>
    </row>
    <row r="502" spans="1:11" x14ac:dyDescent="0.2">
      <c r="A502" s="5">
        <v>50</v>
      </c>
      <c r="B502" s="6">
        <v>50</v>
      </c>
      <c r="C502" s="6">
        <v>5</v>
      </c>
      <c r="D502" s="6">
        <v>200</v>
      </c>
      <c r="E502" s="6">
        <v>11.963202065848934</v>
      </c>
      <c r="F502" s="6">
        <v>0.31339582083284062</v>
      </c>
      <c r="G502" s="6">
        <v>0.32437905557301117</v>
      </c>
      <c r="H502" s="6">
        <v>1.5532639528276561E-2</v>
      </c>
      <c r="I502" s="6"/>
      <c r="J502" s="6"/>
      <c r="K502" s="7"/>
    </row>
    <row r="503" spans="1:11" x14ac:dyDescent="0.2">
      <c r="A503" s="5">
        <v>50</v>
      </c>
      <c r="B503" s="6">
        <v>50</v>
      </c>
      <c r="C503" s="6">
        <v>5</v>
      </c>
      <c r="D503" s="6">
        <v>200</v>
      </c>
      <c r="E503" s="6">
        <v>12.801724137931036</v>
      </c>
      <c r="F503" s="6">
        <v>0.33536229031318177</v>
      </c>
      <c r="G503" s="6"/>
      <c r="H503" s="6"/>
      <c r="I503" s="6"/>
      <c r="J503" s="6"/>
      <c r="K503" s="7"/>
    </row>
    <row r="504" spans="1:11" x14ac:dyDescent="0.2">
      <c r="A504" s="5">
        <v>50</v>
      </c>
      <c r="B504" s="6">
        <v>50</v>
      </c>
      <c r="C504" s="6">
        <v>5</v>
      </c>
      <c r="D504" s="6">
        <v>200</v>
      </c>
      <c r="E504" s="6">
        <v>21.387166546503249</v>
      </c>
      <c r="F504" s="6">
        <v>0.16993287450385744</v>
      </c>
      <c r="G504" s="6">
        <v>0.17725962192432093</v>
      </c>
      <c r="H504" s="6">
        <v>1.036158557010158E-2</v>
      </c>
      <c r="I504" s="6"/>
      <c r="J504" s="6"/>
      <c r="K504" s="7"/>
    </row>
    <row r="505" spans="1:11" x14ac:dyDescent="0.2">
      <c r="A505" s="8">
        <v>50</v>
      </c>
      <c r="B505" s="9">
        <v>50</v>
      </c>
      <c r="C505" s="9">
        <v>5</v>
      </c>
      <c r="D505" s="9">
        <v>200</v>
      </c>
      <c r="E505" s="9">
        <v>23.231404958677686</v>
      </c>
      <c r="F505" s="9">
        <v>0.18458636934478445</v>
      </c>
      <c r="G505" s="9"/>
      <c r="H505" s="9"/>
      <c r="I505" s="9"/>
      <c r="J505" s="9"/>
      <c r="K505" s="10"/>
    </row>
    <row r="506" spans="1:11" x14ac:dyDescent="0.2">
      <c r="A506" s="11">
        <v>50</v>
      </c>
      <c r="B506" s="3">
        <v>50</v>
      </c>
      <c r="C506" s="3">
        <v>20</v>
      </c>
      <c r="D506" s="3">
        <v>25</v>
      </c>
      <c r="E506" s="3">
        <v>15.408560311284043</v>
      </c>
      <c r="F506" s="3">
        <v>0.37430960650086537</v>
      </c>
      <c r="G506" s="3">
        <v>0.52778279705656983</v>
      </c>
      <c r="H506" s="3">
        <v>0.2170438675445478</v>
      </c>
      <c r="I506" s="3"/>
      <c r="J506" s="3">
        <f>AVERAGE(E506:E513)</f>
        <v>17.098991959030908</v>
      </c>
      <c r="K506" s="12">
        <f t="shared" ref="K506" si="59">AVERAGE(F506:F513)</f>
        <v>0.23796091949151782</v>
      </c>
    </row>
    <row r="507" spans="1:11" x14ac:dyDescent="0.2">
      <c r="A507" s="5">
        <v>50</v>
      </c>
      <c r="B507" s="6">
        <v>50</v>
      </c>
      <c r="C507" s="6">
        <v>20</v>
      </c>
      <c r="D507" s="6">
        <v>25</v>
      </c>
      <c r="E507" s="6">
        <v>28.044094488188978</v>
      </c>
      <c r="F507" s="6">
        <v>0.68125598761227435</v>
      </c>
      <c r="G507" s="6"/>
      <c r="H507" s="6"/>
      <c r="I507" s="6"/>
      <c r="J507" s="6"/>
      <c r="K507" s="7"/>
    </row>
    <row r="508" spans="1:11" x14ac:dyDescent="0.2">
      <c r="A508" s="5">
        <v>50</v>
      </c>
      <c r="B508" s="6">
        <v>50</v>
      </c>
      <c r="C508" s="6">
        <v>20</v>
      </c>
      <c r="D508" s="6">
        <v>25</v>
      </c>
      <c r="E508" s="6">
        <v>8.5027624309392262</v>
      </c>
      <c r="F508" s="6">
        <v>0.18261239302701865</v>
      </c>
      <c r="G508" s="6">
        <v>0.12360689481941924</v>
      </c>
      <c r="H508" s="6">
        <v>8.3446375819768479E-2</v>
      </c>
      <c r="I508" s="6"/>
      <c r="J508" s="6"/>
      <c r="K508" s="7"/>
    </row>
    <row r="509" spans="1:11" x14ac:dyDescent="0.2">
      <c r="A509" s="5">
        <v>50</v>
      </c>
      <c r="B509" s="6">
        <v>50</v>
      </c>
      <c r="C509" s="6">
        <v>20</v>
      </c>
      <c r="D509" s="6">
        <v>25</v>
      </c>
      <c r="E509" s="6">
        <v>3.0079575596816981</v>
      </c>
      <c r="F509" s="6">
        <v>6.4601396611819822E-2</v>
      </c>
      <c r="G509" s="6"/>
      <c r="H509" s="6"/>
      <c r="I509" s="6"/>
      <c r="J509" s="6"/>
      <c r="K509" s="7"/>
    </row>
    <row r="510" spans="1:11" x14ac:dyDescent="0.2">
      <c r="A510" s="5">
        <v>50</v>
      </c>
      <c r="B510" s="6">
        <v>50</v>
      </c>
      <c r="C510" s="6">
        <v>20</v>
      </c>
      <c r="D510" s="6">
        <v>25</v>
      </c>
      <c r="E510" s="6">
        <v>19.824742268041238</v>
      </c>
      <c r="F510" s="6">
        <v>0.14357954087965247</v>
      </c>
      <c r="G510" s="6">
        <v>0.12918952758473853</v>
      </c>
      <c r="H510" s="6">
        <v>2.0350551964396345E-2</v>
      </c>
      <c r="I510" s="6"/>
      <c r="J510" s="6"/>
      <c r="K510" s="7"/>
    </row>
    <row r="511" spans="1:11" x14ac:dyDescent="0.2">
      <c r="A511" s="5">
        <v>50</v>
      </c>
      <c r="B511" s="6">
        <v>50</v>
      </c>
      <c r="C511" s="6">
        <v>20</v>
      </c>
      <c r="D511" s="6">
        <v>25</v>
      </c>
      <c r="E511" s="6">
        <v>15.850940665701884</v>
      </c>
      <c r="F511" s="6">
        <v>0.11479951428982459</v>
      </c>
      <c r="G511" s="6"/>
      <c r="H511" s="6"/>
      <c r="I511" s="6"/>
      <c r="J511" s="6"/>
      <c r="K511" s="7"/>
    </row>
    <row r="512" spans="1:11" x14ac:dyDescent="0.2">
      <c r="A512" s="5">
        <v>50</v>
      </c>
      <c r="B512" s="6">
        <v>50</v>
      </c>
      <c r="C512" s="6">
        <v>20</v>
      </c>
      <c r="D512" s="6">
        <v>25</v>
      </c>
      <c r="E512" s="6">
        <v>24.858288770053473</v>
      </c>
      <c r="F512" s="6">
        <v>0.18448866267154748</v>
      </c>
      <c r="G512" s="6">
        <v>0.17126445850534372</v>
      </c>
      <c r="H512" s="6">
        <v>1.8701848883436168E-2</v>
      </c>
      <c r="I512" s="6"/>
      <c r="J512" s="6"/>
      <c r="K512" s="7"/>
    </row>
    <row r="513" spans="1:11" x14ac:dyDescent="0.2">
      <c r="A513" s="8">
        <v>50</v>
      </c>
      <c r="B513" s="9">
        <v>50</v>
      </c>
      <c r="C513" s="9">
        <v>20</v>
      </c>
      <c r="D513" s="9">
        <v>25</v>
      </c>
      <c r="E513" s="9">
        <v>21.294589178356713</v>
      </c>
      <c r="F513" s="9">
        <v>0.15804025433913993</v>
      </c>
      <c r="G513" s="9"/>
      <c r="H513" s="9"/>
      <c r="I513" s="9"/>
      <c r="J513" s="9"/>
      <c r="K513" s="10"/>
    </row>
    <row r="514" spans="1:11" x14ac:dyDescent="0.2">
      <c r="A514" s="11">
        <v>50</v>
      </c>
      <c r="B514" s="3">
        <v>50</v>
      </c>
      <c r="C514" s="3">
        <v>20</v>
      </c>
      <c r="D514" s="3">
        <v>100</v>
      </c>
      <c r="E514" s="3">
        <v>18.457478005865102</v>
      </c>
      <c r="F514" s="3">
        <v>0.44837487667905368</v>
      </c>
      <c r="G514" s="3">
        <v>0.58579688323331824</v>
      </c>
      <c r="H514" s="3">
        <v>0.19434406543756549</v>
      </c>
      <c r="I514" s="3"/>
      <c r="J514" s="3">
        <f>AVERAGE(E514:E521)</f>
        <v>17.758722047571801</v>
      </c>
      <c r="K514" s="12">
        <f t="shared" ref="K514" si="60">AVERAGE(F514:F521)</f>
        <v>0.25023286959275665</v>
      </c>
    </row>
    <row r="515" spans="1:11" x14ac:dyDescent="0.2">
      <c r="A515" s="5">
        <v>50</v>
      </c>
      <c r="B515" s="6">
        <v>50</v>
      </c>
      <c r="C515" s="6">
        <v>20</v>
      </c>
      <c r="D515" s="6">
        <v>100</v>
      </c>
      <c r="E515" s="6">
        <v>29.771509167842034</v>
      </c>
      <c r="F515" s="6">
        <v>0.72321888978758286</v>
      </c>
      <c r="G515" s="6"/>
      <c r="H515" s="6"/>
      <c r="I515" s="6"/>
      <c r="J515" s="6"/>
      <c r="K515" s="7"/>
    </row>
    <row r="516" spans="1:11" x14ac:dyDescent="0.2">
      <c r="A516" s="5">
        <v>50</v>
      </c>
      <c r="B516" s="6">
        <v>50</v>
      </c>
      <c r="C516" s="6">
        <v>20</v>
      </c>
      <c r="D516" s="6">
        <v>100</v>
      </c>
      <c r="E516" s="6">
        <v>7.8430311231393768</v>
      </c>
      <c r="F516" s="6">
        <v>0.16844345512587264</v>
      </c>
      <c r="G516" s="6">
        <v>0.10752637412857592</v>
      </c>
      <c r="H516" s="6">
        <v>8.6149762126557353E-2</v>
      </c>
      <c r="I516" s="6"/>
      <c r="J516" s="6"/>
      <c r="K516" s="7"/>
    </row>
    <row r="517" spans="1:11" x14ac:dyDescent="0.2">
      <c r="A517" s="5">
        <v>50</v>
      </c>
      <c r="B517" s="6">
        <v>50</v>
      </c>
      <c r="C517" s="6">
        <v>20</v>
      </c>
      <c r="D517" s="6">
        <v>100</v>
      </c>
      <c r="E517" s="6">
        <v>2.1702127659574471</v>
      </c>
      <c r="F517" s="6">
        <v>4.6609293131279206E-2</v>
      </c>
      <c r="G517" s="6"/>
      <c r="H517" s="6"/>
      <c r="I517" s="6"/>
      <c r="J517" s="6"/>
      <c r="K517" s="7"/>
    </row>
    <row r="518" spans="1:11" x14ac:dyDescent="0.2">
      <c r="A518" s="5">
        <v>50</v>
      </c>
      <c r="B518" s="6">
        <v>50</v>
      </c>
      <c r="C518" s="6">
        <v>20</v>
      </c>
      <c r="D518" s="6">
        <v>100</v>
      </c>
      <c r="E518" s="6">
        <v>19.019704433497537</v>
      </c>
      <c r="F518" s="6">
        <v>0.13774910126476436</v>
      </c>
      <c r="G518" s="6">
        <v>0.1398450748735785</v>
      </c>
      <c r="H518" s="6">
        <v>2.9641543039610357E-3</v>
      </c>
      <c r="I518" s="6"/>
      <c r="J518" s="6"/>
      <c r="K518" s="7"/>
    </row>
    <row r="519" spans="1:11" x14ac:dyDescent="0.2">
      <c r="A519" s="5">
        <v>50</v>
      </c>
      <c r="B519" s="6">
        <v>50</v>
      </c>
      <c r="C519" s="6">
        <v>20</v>
      </c>
      <c r="D519" s="6">
        <v>100</v>
      </c>
      <c r="E519" s="6">
        <v>19.598507462686566</v>
      </c>
      <c r="F519" s="6">
        <v>0.14194104848239264</v>
      </c>
      <c r="G519" s="6"/>
      <c r="H519" s="6"/>
      <c r="I519" s="6"/>
      <c r="J519" s="6"/>
      <c r="K519" s="7"/>
    </row>
    <row r="520" spans="1:11" x14ac:dyDescent="0.2">
      <c r="A520" s="5">
        <v>50</v>
      </c>
      <c r="B520" s="6">
        <v>50</v>
      </c>
      <c r="C520" s="6">
        <v>20</v>
      </c>
      <c r="D520" s="6">
        <v>100</v>
      </c>
      <c r="E520" s="6">
        <v>26.25275532696547</v>
      </c>
      <c r="F520" s="6">
        <v>0.1948378573649012</v>
      </c>
      <c r="G520" s="6">
        <v>0.16776314613555393</v>
      </c>
      <c r="H520" s="6">
        <v>3.8289423817877873E-2</v>
      </c>
      <c r="I520" s="6"/>
      <c r="J520" s="6"/>
      <c r="K520" s="7"/>
    </row>
    <row r="521" spans="1:11" x14ac:dyDescent="0.2">
      <c r="A521" s="8">
        <v>50</v>
      </c>
      <c r="B521" s="9">
        <v>50</v>
      </c>
      <c r="C521" s="9">
        <v>20</v>
      </c>
      <c r="D521" s="9">
        <v>100</v>
      </c>
      <c r="E521" s="9">
        <v>18.95657809462087</v>
      </c>
      <c r="F521" s="9">
        <v>0.14068843490620664</v>
      </c>
      <c r="G521" s="9"/>
      <c r="H521" s="9"/>
      <c r="I521" s="9"/>
      <c r="J521" s="9"/>
      <c r="K521" s="10"/>
    </row>
    <row r="522" spans="1:11" x14ac:dyDescent="0.2">
      <c r="A522" s="11">
        <v>50</v>
      </c>
      <c r="B522" s="3">
        <v>50</v>
      </c>
      <c r="C522" s="3">
        <v>20</v>
      </c>
      <c r="D522" s="3">
        <v>200</v>
      </c>
      <c r="E522" s="3">
        <v>19.390868038133469</v>
      </c>
      <c r="F522" s="3">
        <v>0.47104908170743298</v>
      </c>
      <c r="G522" s="3">
        <v>0.63593403256055425</v>
      </c>
      <c r="H522" s="3">
        <v>0.23318253372770595</v>
      </c>
      <c r="I522" s="3"/>
      <c r="J522" s="3">
        <f>AVERAGE(E522:E529)</f>
        <v>19.158611986064976</v>
      </c>
      <c r="K522" s="12">
        <f t="shared" ref="K522" si="61">AVERAGE(F522:F529)</f>
        <v>0.27685542099375454</v>
      </c>
    </row>
    <row r="523" spans="1:11" x14ac:dyDescent="0.2">
      <c r="A523" s="5">
        <v>50</v>
      </c>
      <c r="B523" s="6">
        <v>50</v>
      </c>
      <c r="C523" s="6">
        <v>20</v>
      </c>
      <c r="D523" s="6">
        <v>200</v>
      </c>
      <c r="E523" s="6">
        <v>32.965938864628818</v>
      </c>
      <c r="F523" s="6">
        <v>0.80081898341367563</v>
      </c>
      <c r="G523" s="6"/>
      <c r="H523" s="6"/>
      <c r="I523" s="6"/>
      <c r="J523" s="6"/>
      <c r="K523" s="7"/>
    </row>
    <row r="524" spans="1:11" x14ac:dyDescent="0.2">
      <c r="A524" s="5">
        <v>50</v>
      </c>
      <c r="B524" s="6">
        <v>50</v>
      </c>
      <c r="C524" s="6">
        <v>20</v>
      </c>
      <c r="D524" s="6">
        <v>200</v>
      </c>
      <c r="E524" s="6">
        <v>12.6109756097561</v>
      </c>
      <c r="F524" s="6">
        <v>0.27084379379144236</v>
      </c>
      <c r="G524" s="6">
        <v>0.15377386235326446</v>
      </c>
      <c r="H524" s="6">
        <v>0.16556188478595957</v>
      </c>
      <c r="I524" s="6"/>
      <c r="J524" s="6"/>
      <c r="K524" s="7"/>
    </row>
    <row r="525" spans="1:11" x14ac:dyDescent="0.2">
      <c r="A525" s="5">
        <v>50</v>
      </c>
      <c r="B525" s="6">
        <v>50</v>
      </c>
      <c r="C525" s="6">
        <v>20</v>
      </c>
      <c r="D525" s="6">
        <v>200</v>
      </c>
      <c r="E525" s="6">
        <v>1.7090012330456228</v>
      </c>
      <c r="F525" s="6">
        <v>3.6703930915086551E-2</v>
      </c>
      <c r="G525" s="6"/>
      <c r="H525" s="6"/>
      <c r="I525" s="6"/>
      <c r="J525" s="6"/>
      <c r="K525" s="7"/>
    </row>
    <row r="526" spans="1:11" x14ac:dyDescent="0.2">
      <c r="A526" s="5">
        <v>50</v>
      </c>
      <c r="B526" s="6">
        <v>50</v>
      </c>
      <c r="C526" s="6">
        <v>20</v>
      </c>
      <c r="D526" s="6">
        <v>200</v>
      </c>
      <c r="E526" s="6">
        <v>21.007957559681699</v>
      </c>
      <c r="F526" s="6">
        <v>0.15214890869480879</v>
      </c>
      <c r="G526" s="6">
        <v>0.14603794517344204</v>
      </c>
      <c r="H526" s="6">
        <v>8.6422074910841081E-3</v>
      </c>
      <c r="I526" s="6"/>
      <c r="J526" s="6"/>
      <c r="K526" s="7"/>
    </row>
    <row r="527" spans="1:11" x14ac:dyDescent="0.2">
      <c r="A527" s="5">
        <v>50</v>
      </c>
      <c r="B527" s="6">
        <v>50</v>
      </c>
      <c r="C527" s="6">
        <v>20</v>
      </c>
      <c r="D527" s="6">
        <v>200</v>
      </c>
      <c r="E527" s="6">
        <v>19.3204152249135</v>
      </c>
      <c r="F527" s="6">
        <v>0.13992698165207529</v>
      </c>
      <c r="G527" s="6"/>
      <c r="H527" s="6"/>
      <c r="I527" s="6"/>
      <c r="J527" s="6"/>
      <c r="K527" s="7"/>
    </row>
    <row r="528" spans="1:11" x14ac:dyDescent="0.2">
      <c r="A528" s="5">
        <v>50</v>
      </c>
      <c r="B528" s="6">
        <v>50</v>
      </c>
      <c r="C528" s="6">
        <v>20</v>
      </c>
      <c r="D528" s="6">
        <v>200</v>
      </c>
      <c r="E528" s="6">
        <v>24.985074626865671</v>
      </c>
      <c r="F528" s="6">
        <v>0.1854296185589506</v>
      </c>
      <c r="G528" s="6">
        <v>0.17167584388775731</v>
      </c>
      <c r="H528" s="6">
        <v>1.9450774673825107E-2</v>
      </c>
      <c r="I528" s="6"/>
      <c r="J528" s="6"/>
      <c r="K528" s="7"/>
    </row>
    <row r="529" spans="1:11" x14ac:dyDescent="0.2">
      <c r="A529" s="8">
        <v>50</v>
      </c>
      <c r="B529" s="9">
        <v>50</v>
      </c>
      <c r="C529" s="9">
        <v>20</v>
      </c>
      <c r="D529" s="9">
        <v>200</v>
      </c>
      <c r="E529" s="9">
        <v>21.278664731494921</v>
      </c>
      <c r="F529" s="9">
        <v>0.15792206921656401</v>
      </c>
      <c r="G529" s="9"/>
      <c r="H529" s="9"/>
      <c r="I529" s="9"/>
      <c r="J529" s="9"/>
      <c r="K529" s="10"/>
    </row>
    <row r="530" spans="1:11" x14ac:dyDescent="0.2">
      <c r="A530" s="11">
        <v>50</v>
      </c>
      <c r="B530" s="3">
        <v>200</v>
      </c>
      <c r="C530" s="3">
        <v>2</v>
      </c>
      <c r="D530" s="3">
        <v>25</v>
      </c>
      <c r="E530" s="3">
        <v>27.563710063126624</v>
      </c>
      <c r="F530" s="3">
        <v>0.59482087430484232</v>
      </c>
      <c r="G530" s="3">
        <v>0.51479956369008972</v>
      </c>
      <c r="H530" s="3">
        <v>0.11316722275025336</v>
      </c>
      <c r="I530" s="3"/>
      <c r="J530" s="3">
        <f>AVERAGE(E530:E537)</f>
        <v>35.214518793841336</v>
      </c>
      <c r="K530" s="12">
        <f t="shared" ref="K530" si="62">AVERAGE(F530:F537)</f>
        <v>0.50440026596677356</v>
      </c>
    </row>
    <row r="531" spans="1:11" x14ac:dyDescent="0.2">
      <c r="A531" s="5">
        <v>50</v>
      </c>
      <c r="B531" s="6">
        <v>200</v>
      </c>
      <c r="C531" s="6">
        <v>2</v>
      </c>
      <c r="D531" s="6">
        <v>25</v>
      </c>
      <c r="E531" s="6">
        <v>20.147412821594259</v>
      </c>
      <c r="F531" s="6">
        <v>0.43477825307533724</v>
      </c>
      <c r="G531" s="6"/>
      <c r="H531" s="6"/>
      <c r="I531" s="6"/>
      <c r="J531" s="6"/>
      <c r="K531" s="7"/>
    </row>
    <row r="532" spans="1:11" x14ac:dyDescent="0.2">
      <c r="A532" s="5">
        <v>50</v>
      </c>
      <c r="B532" s="6">
        <v>200</v>
      </c>
      <c r="C532" s="6">
        <v>2</v>
      </c>
      <c r="D532" s="6">
        <v>25</v>
      </c>
      <c r="E532" s="6">
        <v>22.292604501607716</v>
      </c>
      <c r="F532" s="6">
        <v>0.62676863808510053</v>
      </c>
      <c r="G532" s="6">
        <v>0.62676863808510053</v>
      </c>
      <c r="H532" s="6"/>
      <c r="I532" s="6"/>
      <c r="J532" s="6"/>
      <c r="K532" s="7"/>
    </row>
    <row r="533" spans="1:11" x14ac:dyDescent="0.2">
      <c r="A533" s="5">
        <v>50</v>
      </c>
      <c r="B533" s="6">
        <v>200</v>
      </c>
      <c r="C533" s="6">
        <v>2</v>
      </c>
      <c r="D533" s="6">
        <v>25</v>
      </c>
      <c r="E533" s="6"/>
      <c r="F533" s="6"/>
      <c r="G533" s="6"/>
      <c r="H533" s="6"/>
      <c r="I533" s="6"/>
      <c r="J533" s="6"/>
      <c r="K533" s="7"/>
    </row>
    <row r="534" spans="1:11" x14ac:dyDescent="0.2">
      <c r="A534" s="5">
        <v>50</v>
      </c>
      <c r="B534" s="6">
        <v>200</v>
      </c>
      <c r="C534" s="6">
        <v>2</v>
      </c>
      <c r="D534" s="6">
        <v>25</v>
      </c>
      <c r="E534" s="6">
        <v>69.394149727317796</v>
      </c>
      <c r="F534" s="6">
        <v>0.7972921572657593</v>
      </c>
      <c r="G534" s="6">
        <v>0.7972921572657593</v>
      </c>
      <c r="H534" s="6"/>
      <c r="I534" s="6"/>
      <c r="J534" s="6"/>
      <c r="K534" s="7"/>
    </row>
    <row r="535" spans="1:11" x14ac:dyDescent="0.2">
      <c r="A535" s="5">
        <v>50</v>
      </c>
      <c r="B535" s="6">
        <v>200</v>
      </c>
      <c r="C535" s="6">
        <v>2</v>
      </c>
      <c r="D535" s="6">
        <v>25</v>
      </c>
      <c r="E535" s="6"/>
      <c r="F535" s="6"/>
      <c r="G535" s="6"/>
      <c r="H535" s="6"/>
      <c r="I535" s="6"/>
      <c r="J535" s="6"/>
      <c r="K535" s="7"/>
    </row>
    <row r="536" spans="1:11" x14ac:dyDescent="0.2">
      <c r="A536" s="5">
        <v>50</v>
      </c>
      <c r="B536" s="6">
        <v>200</v>
      </c>
      <c r="C536" s="6">
        <v>2</v>
      </c>
      <c r="D536" s="6">
        <v>25</v>
      </c>
      <c r="E536" s="6">
        <v>27.097297297297299</v>
      </c>
      <c r="F536" s="6">
        <v>0.21588421756780266</v>
      </c>
      <c r="G536" s="6">
        <v>0.28637083653480089</v>
      </c>
      <c r="H536" s="6">
        <v>9.9683132508953526E-2</v>
      </c>
      <c r="I536" s="6"/>
      <c r="J536" s="6"/>
      <c r="K536" s="7"/>
    </row>
    <row r="537" spans="1:11" x14ac:dyDescent="0.2">
      <c r="A537" s="8">
        <v>50</v>
      </c>
      <c r="B537" s="9">
        <v>200</v>
      </c>
      <c r="C537" s="9">
        <v>2</v>
      </c>
      <c r="D537" s="9">
        <v>25</v>
      </c>
      <c r="E537" s="9">
        <v>44.791938352104324</v>
      </c>
      <c r="F537" s="9">
        <v>0.35685745550179915</v>
      </c>
      <c r="G537" s="9"/>
      <c r="H537" s="9"/>
      <c r="I537" s="9"/>
      <c r="J537" s="9"/>
      <c r="K537" s="10"/>
    </row>
    <row r="538" spans="1:11" x14ac:dyDescent="0.2">
      <c r="A538" s="11">
        <v>50</v>
      </c>
      <c r="B538" s="3">
        <v>200</v>
      </c>
      <c r="C538" s="3">
        <v>2</v>
      </c>
      <c r="D538" s="3">
        <v>100</v>
      </c>
      <c r="E538" s="3">
        <v>25.319804778691733</v>
      </c>
      <c r="F538" s="3">
        <v>0.54639772299146594</v>
      </c>
      <c r="G538" s="3">
        <v>0.52868096221547234</v>
      </c>
      <c r="H538" s="3">
        <v>2.505528337072983E-2</v>
      </c>
      <c r="I538" s="3"/>
      <c r="J538" s="3">
        <f>AVERAGE(E538:E545)</f>
        <v>34.372123922695856</v>
      </c>
      <c r="K538" s="12">
        <f t="shared" ref="K538" si="63">AVERAGE(F538:F545)</f>
        <v>0.48221745878639943</v>
      </c>
    </row>
    <row r="539" spans="1:11" x14ac:dyDescent="0.2">
      <c r="A539" s="5">
        <v>50</v>
      </c>
      <c r="B539" s="6">
        <v>200</v>
      </c>
      <c r="C539" s="6">
        <v>2</v>
      </c>
      <c r="D539" s="6">
        <v>100</v>
      </c>
      <c r="E539" s="6">
        <v>23.677832620744262</v>
      </c>
      <c r="F539" s="6">
        <v>0.51096420143947874</v>
      </c>
      <c r="G539" s="6"/>
      <c r="H539" s="6"/>
      <c r="I539" s="6"/>
      <c r="J539" s="6"/>
      <c r="K539" s="7"/>
    </row>
    <row r="540" spans="1:11" x14ac:dyDescent="0.2">
      <c r="A540" s="5">
        <v>50</v>
      </c>
      <c r="B540" s="6">
        <v>200</v>
      </c>
      <c r="C540" s="6">
        <v>2</v>
      </c>
      <c r="D540" s="6">
        <v>100</v>
      </c>
      <c r="E540" s="6">
        <v>19.573664328116571</v>
      </c>
      <c r="F540" s="6">
        <v>0.55032416388958827</v>
      </c>
      <c r="G540" s="6">
        <v>0.55032416388958827</v>
      </c>
      <c r="H540" s="6"/>
      <c r="I540" s="6"/>
      <c r="J540" s="6"/>
      <c r="K540" s="7"/>
    </row>
    <row r="541" spans="1:11" x14ac:dyDescent="0.2">
      <c r="A541" s="5">
        <v>50</v>
      </c>
      <c r="B541" s="6">
        <v>200</v>
      </c>
      <c r="C541" s="6">
        <v>2</v>
      </c>
      <c r="D541" s="6">
        <v>100</v>
      </c>
      <c r="E541" s="6"/>
      <c r="F541" s="6"/>
      <c r="G541" s="6"/>
      <c r="H541" s="6"/>
      <c r="I541" s="6"/>
      <c r="J541" s="6"/>
      <c r="K541" s="7"/>
    </row>
    <row r="542" spans="1:11" x14ac:dyDescent="0.2">
      <c r="A542" s="5">
        <v>50</v>
      </c>
      <c r="B542" s="6">
        <v>200</v>
      </c>
      <c r="C542" s="6">
        <v>2</v>
      </c>
      <c r="D542" s="6">
        <v>100</v>
      </c>
      <c r="E542" s="6">
        <v>53.620728929384967</v>
      </c>
      <c r="F542" s="6">
        <v>0.6160661498161174</v>
      </c>
      <c r="G542" s="6">
        <v>0.6160661498161174</v>
      </c>
      <c r="H542" s="6"/>
      <c r="I542" s="6"/>
      <c r="J542" s="6"/>
      <c r="K542" s="7"/>
    </row>
    <row r="543" spans="1:11" x14ac:dyDescent="0.2">
      <c r="A543" s="5">
        <v>50</v>
      </c>
      <c r="B543" s="6">
        <v>200</v>
      </c>
      <c r="C543" s="6">
        <v>2</v>
      </c>
      <c r="D543" s="6">
        <v>100</v>
      </c>
      <c r="E543" s="6"/>
      <c r="F543" s="6"/>
      <c r="G543" s="6"/>
      <c r="H543" s="6"/>
      <c r="I543" s="6"/>
      <c r="J543" s="6"/>
      <c r="K543" s="7"/>
    </row>
    <row r="544" spans="1:11" x14ac:dyDescent="0.2">
      <c r="A544" s="5">
        <v>50</v>
      </c>
      <c r="B544" s="6">
        <v>200</v>
      </c>
      <c r="C544" s="6">
        <v>2</v>
      </c>
      <c r="D544" s="6">
        <v>100</v>
      </c>
      <c r="E544" s="6">
        <v>31.679075738125803</v>
      </c>
      <c r="F544" s="6">
        <v>0.252387254860232</v>
      </c>
      <c r="G544" s="6">
        <v>0.33477625729087312</v>
      </c>
      <c r="H544" s="6">
        <v>0.11651564462780228</v>
      </c>
      <c r="I544" s="6"/>
      <c r="J544" s="6"/>
      <c r="K544" s="7"/>
    </row>
    <row r="545" spans="1:11" x14ac:dyDescent="0.2">
      <c r="A545" s="8">
        <v>50</v>
      </c>
      <c r="B545" s="9">
        <v>200</v>
      </c>
      <c r="C545" s="9">
        <v>2</v>
      </c>
      <c r="D545" s="9">
        <v>100</v>
      </c>
      <c r="E545" s="9">
        <v>52.361637141111785</v>
      </c>
      <c r="F545" s="9">
        <v>0.41716525972151419</v>
      </c>
      <c r="G545" s="9"/>
      <c r="H545" s="9"/>
      <c r="I545" s="9"/>
      <c r="J545" s="9"/>
      <c r="K545" s="10"/>
    </row>
    <row r="546" spans="1:11" x14ac:dyDescent="0.2">
      <c r="A546" s="11">
        <v>50</v>
      </c>
      <c r="B546" s="3">
        <v>200</v>
      </c>
      <c r="C546" s="3">
        <v>2</v>
      </c>
      <c r="D546" s="3">
        <v>200</v>
      </c>
      <c r="E546" s="3">
        <v>25.550587659399422</v>
      </c>
      <c r="F546" s="3">
        <v>0.55137798415960149</v>
      </c>
      <c r="G546" s="3">
        <v>0.52421052535914192</v>
      </c>
      <c r="H546" s="3">
        <v>3.8420588690822252E-2</v>
      </c>
      <c r="I546" s="3"/>
      <c r="J546" s="3">
        <f>AVERAGE(E546:E553)</f>
        <v>34.669592020132185</v>
      </c>
      <c r="K546" s="12">
        <f t="shared" ref="K546" si="64">AVERAGE(F546:F553)</f>
        <v>0.48536601428937559</v>
      </c>
    </row>
    <row r="547" spans="1:11" x14ac:dyDescent="0.2">
      <c r="A547" s="5">
        <v>50</v>
      </c>
      <c r="B547" s="6">
        <v>200</v>
      </c>
      <c r="C547" s="6">
        <v>2</v>
      </c>
      <c r="D547" s="6">
        <v>200</v>
      </c>
      <c r="E547" s="6">
        <v>23.032733999999998</v>
      </c>
      <c r="F547" s="6">
        <v>0.4970430665586823</v>
      </c>
      <c r="G547" s="6"/>
      <c r="H547" s="6"/>
      <c r="I547" s="6"/>
      <c r="J547" s="6"/>
      <c r="K547" s="7"/>
    </row>
    <row r="548" spans="1:11" x14ac:dyDescent="0.2">
      <c r="A548" s="5">
        <v>50</v>
      </c>
      <c r="B548" s="6">
        <v>200</v>
      </c>
      <c r="C548" s="6">
        <v>2</v>
      </c>
      <c r="D548" s="6">
        <v>200</v>
      </c>
      <c r="E548" s="6">
        <v>19.913924050632914</v>
      </c>
      <c r="F548" s="6">
        <v>0.55989075010258105</v>
      </c>
      <c r="G548" s="6">
        <v>0.55989075010258105</v>
      </c>
      <c r="H548" s="6"/>
      <c r="I548" s="6"/>
      <c r="J548" s="6"/>
      <c r="K548" s="7"/>
    </row>
    <row r="549" spans="1:11" x14ac:dyDescent="0.2">
      <c r="A549" s="5">
        <v>50</v>
      </c>
      <c r="B549" s="6">
        <v>200</v>
      </c>
      <c r="C549" s="6">
        <v>2</v>
      </c>
      <c r="D549" s="6">
        <v>200</v>
      </c>
      <c r="E549" s="6"/>
      <c r="F549" s="6"/>
      <c r="G549" s="6"/>
      <c r="H549" s="6"/>
      <c r="I549" s="6"/>
      <c r="J549" s="6"/>
      <c r="K549" s="7"/>
    </row>
    <row r="550" spans="1:11" x14ac:dyDescent="0.2">
      <c r="A550" s="5">
        <v>50</v>
      </c>
      <c r="B550" s="6">
        <v>200</v>
      </c>
      <c r="C550" s="6">
        <v>2</v>
      </c>
      <c r="D550" s="6">
        <v>200</v>
      </c>
      <c r="E550" s="6">
        <v>54.601910828025488</v>
      </c>
      <c r="F550" s="6">
        <v>0.62733927061536621</v>
      </c>
      <c r="G550" s="6">
        <v>0.62733927061536621</v>
      </c>
      <c r="H550" s="6"/>
      <c r="I550" s="6"/>
      <c r="J550" s="6"/>
      <c r="K550" s="7"/>
    </row>
    <row r="551" spans="1:11" x14ac:dyDescent="0.2">
      <c r="A551" s="5">
        <v>50</v>
      </c>
      <c r="B551" s="6">
        <v>200</v>
      </c>
      <c r="C551" s="6">
        <v>2</v>
      </c>
      <c r="D551" s="6">
        <v>200</v>
      </c>
      <c r="E551" s="6"/>
      <c r="F551" s="6"/>
      <c r="G551" s="6"/>
      <c r="H551" s="6"/>
      <c r="I551" s="6"/>
      <c r="J551" s="6"/>
      <c r="K551" s="7"/>
    </row>
    <row r="552" spans="1:11" x14ac:dyDescent="0.2">
      <c r="A552" s="5">
        <v>50</v>
      </c>
      <c r="B552" s="6">
        <v>200</v>
      </c>
      <c r="C552" s="6">
        <v>2</v>
      </c>
      <c r="D552" s="6">
        <v>200</v>
      </c>
      <c r="E552" s="6">
        <v>28.860576923076927</v>
      </c>
      <c r="F552" s="6">
        <v>0.22993226960001217</v>
      </c>
      <c r="G552" s="6">
        <v>0.33827250715001111</v>
      </c>
      <c r="H552" s="6">
        <v>0.15321623329393128</v>
      </c>
      <c r="I552" s="6"/>
      <c r="J552" s="6"/>
      <c r="K552" s="7"/>
    </row>
    <row r="553" spans="1:11" x14ac:dyDescent="0.2">
      <c r="A553" s="8">
        <v>50</v>
      </c>
      <c r="B553" s="9">
        <v>200</v>
      </c>
      <c r="C553" s="9">
        <v>2</v>
      </c>
      <c r="D553" s="9">
        <v>200</v>
      </c>
      <c r="E553" s="9">
        <v>56.057818659658345</v>
      </c>
      <c r="F553" s="9">
        <v>0.44661274470001</v>
      </c>
      <c r="G553" s="9"/>
      <c r="H553" s="9"/>
      <c r="I553" s="9"/>
      <c r="J553" s="9"/>
      <c r="K553" s="10"/>
    </row>
    <row r="554" spans="1:11" x14ac:dyDescent="0.2">
      <c r="A554" s="11">
        <v>50</v>
      </c>
      <c r="B554" s="3">
        <v>200</v>
      </c>
      <c r="C554" s="3">
        <v>5</v>
      </c>
      <c r="D554" s="3">
        <v>25</v>
      </c>
      <c r="E554" s="3"/>
      <c r="F554" s="3"/>
      <c r="G554" s="3"/>
      <c r="H554" s="3"/>
      <c r="I554" s="3"/>
      <c r="J554" s="3">
        <f>AVERAGE(E554:E561)</f>
        <v>48.140815328855865</v>
      </c>
      <c r="K554" s="12">
        <f t="shared" ref="K554" si="65">AVERAGE(F554:F561)</f>
        <v>0.77095299095991399</v>
      </c>
    </row>
    <row r="555" spans="1:11" x14ac:dyDescent="0.2">
      <c r="A555" s="5">
        <v>50</v>
      </c>
      <c r="B555" s="6">
        <v>200</v>
      </c>
      <c r="C555" s="6">
        <v>5</v>
      </c>
      <c r="D555" s="6">
        <v>25</v>
      </c>
      <c r="E555" s="6">
        <v>28.110531803962459</v>
      </c>
      <c r="F555" s="6">
        <v>0.64644180995314393</v>
      </c>
      <c r="G555" s="6"/>
      <c r="H555" s="6"/>
      <c r="I555" s="6"/>
      <c r="J555" s="6"/>
      <c r="K555" s="7"/>
    </row>
    <row r="556" spans="1:11" x14ac:dyDescent="0.2">
      <c r="A556" s="5">
        <v>50</v>
      </c>
      <c r="B556" s="6">
        <v>200</v>
      </c>
      <c r="C556" s="6">
        <v>5</v>
      </c>
      <c r="D556" s="6">
        <v>25</v>
      </c>
      <c r="E556" s="6">
        <v>23.048634243837437</v>
      </c>
      <c r="F556" s="6">
        <v>0.5248219912413653</v>
      </c>
      <c r="G556" s="6">
        <v>0.5248219912413653</v>
      </c>
      <c r="H556" s="6"/>
      <c r="I556" s="6"/>
      <c r="J556" s="6"/>
      <c r="K556" s="7"/>
    </row>
    <row r="557" spans="1:11" x14ac:dyDescent="0.2">
      <c r="A557" s="5">
        <v>50</v>
      </c>
      <c r="B557" s="6">
        <v>200</v>
      </c>
      <c r="C557" s="6">
        <v>5</v>
      </c>
      <c r="D557" s="6">
        <v>25</v>
      </c>
      <c r="E557" s="6"/>
      <c r="F557" s="6"/>
      <c r="G557" s="6"/>
      <c r="H557" s="6"/>
      <c r="I557" s="6"/>
      <c r="J557" s="6"/>
      <c r="K557" s="7"/>
    </row>
    <row r="558" spans="1:11" x14ac:dyDescent="0.2">
      <c r="A558" s="5">
        <v>50</v>
      </c>
      <c r="B558" s="6">
        <v>200</v>
      </c>
      <c r="C558" s="6">
        <v>5</v>
      </c>
      <c r="D558" s="6">
        <v>25</v>
      </c>
      <c r="E558" s="6">
        <v>45.474300585556279</v>
      </c>
      <c r="F558" s="6">
        <v>1.191274349489843</v>
      </c>
      <c r="G558" s="6">
        <v>1.1238114653840467</v>
      </c>
      <c r="H558" s="6">
        <v>9.5406925659221223E-2</v>
      </c>
      <c r="I558" s="6"/>
      <c r="J558" s="6"/>
      <c r="K558" s="7"/>
    </row>
    <row r="559" spans="1:11" x14ac:dyDescent="0.2">
      <c r="A559" s="5">
        <v>50</v>
      </c>
      <c r="B559" s="6">
        <v>200</v>
      </c>
      <c r="C559" s="6">
        <v>5</v>
      </c>
      <c r="D559" s="6">
        <v>25</v>
      </c>
      <c r="E559" s="6">
        <v>40.323803604723437</v>
      </c>
      <c r="F559" s="6">
        <v>1.0563485812782507</v>
      </c>
      <c r="G559" s="6"/>
      <c r="H559" s="6"/>
      <c r="I559" s="6"/>
      <c r="J559" s="6"/>
      <c r="K559" s="7"/>
    </row>
    <row r="560" spans="1:11" x14ac:dyDescent="0.2">
      <c r="A560" s="5">
        <v>50</v>
      </c>
      <c r="B560" s="6">
        <v>200</v>
      </c>
      <c r="C560" s="6">
        <v>5</v>
      </c>
      <c r="D560" s="6">
        <v>25</v>
      </c>
      <c r="E560" s="6">
        <v>70.458498023715407</v>
      </c>
      <c r="F560" s="6">
        <v>0.55983176061963713</v>
      </c>
      <c r="G560" s="6">
        <v>0.60341560689844076</v>
      </c>
      <c r="H560" s="6">
        <v>6.1636866507868246E-2</v>
      </c>
      <c r="I560" s="6"/>
      <c r="J560" s="6"/>
      <c r="K560" s="7"/>
    </row>
    <row r="561" spans="1:11" x14ac:dyDescent="0.2">
      <c r="A561" s="8">
        <v>50</v>
      </c>
      <c r="B561" s="9">
        <v>200</v>
      </c>
      <c r="C561" s="9">
        <v>5</v>
      </c>
      <c r="D561" s="9">
        <v>25</v>
      </c>
      <c r="E561" s="9">
        <v>81.429123711340196</v>
      </c>
      <c r="F561" s="9">
        <v>0.64699945317724439</v>
      </c>
      <c r="G561" s="9"/>
      <c r="H561" s="9"/>
      <c r="I561" s="9"/>
      <c r="J561" s="9"/>
      <c r="K561" s="10"/>
    </row>
    <row r="562" spans="1:11" x14ac:dyDescent="0.2">
      <c r="A562" s="11">
        <v>50</v>
      </c>
      <c r="B562" s="3">
        <v>200</v>
      </c>
      <c r="C562" s="3">
        <v>5</v>
      </c>
      <c r="D562" s="3">
        <v>100</v>
      </c>
      <c r="E562" s="3"/>
      <c r="F562" s="3"/>
      <c r="G562" s="3"/>
      <c r="H562" s="3"/>
      <c r="I562" s="3"/>
      <c r="J562" s="3">
        <f>AVERAGE(E562:E569)</f>
        <v>47.05790315726491</v>
      </c>
      <c r="K562" s="12">
        <f t="shared" ref="K562" si="66">AVERAGE(F562:F569)</f>
        <v>0.75785997615293743</v>
      </c>
    </row>
    <row r="563" spans="1:11" x14ac:dyDescent="0.2">
      <c r="A563" s="5">
        <v>50</v>
      </c>
      <c r="B563" s="6">
        <v>200</v>
      </c>
      <c r="C563" s="6">
        <v>5</v>
      </c>
      <c r="D563" s="6">
        <v>100</v>
      </c>
      <c r="E563" s="6">
        <v>29.114575779550393</v>
      </c>
      <c r="F563" s="6">
        <v>0.66953123456374919</v>
      </c>
      <c r="G563" s="6"/>
      <c r="H563" s="6"/>
      <c r="I563" s="6"/>
      <c r="J563" s="6"/>
      <c r="K563" s="7"/>
    </row>
    <row r="564" spans="1:11" x14ac:dyDescent="0.2">
      <c r="A564" s="5">
        <v>50</v>
      </c>
      <c r="B564" s="6">
        <v>200</v>
      </c>
      <c r="C564" s="6">
        <v>5</v>
      </c>
      <c r="D564" s="6">
        <v>100</v>
      </c>
      <c r="E564" s="6">
        <v>21.606981254040075</v>
      </c>
      <c r="F564" s="6">
        <v>0.49199526559766182</v>
      </c>
      <c r="G564" s="6">
        <v>0.49199526559766182</v>
      </c>
      <c r="H564" s="6"/>
      <c r="I564" s="6"/>
      <c r="J564" s="6"/>
      <c r="K564" s="7"/>
    </row>
    <row r="565" spans="1:11" x14ac:dyDescent="0.2">
      <c r="A565" s="5">
        <v>50</v>
      </c>
      <c r="B565" s="6">
        <v>200</v>
      </c>
      <c r="C565" s="6">
        <v>5</v>
      </c>
      <c r="D565" s="6">
        <v>100</v>
      </c>
      <c r="E565" s="6"/>
      <c r="F565" s="6"/>
      <c r="G565" s="6"/>
      <c r="H565" s="6"/>
      <c r="I565" s="6"/>
      <c r="J565" s="6"/>
      <c r="K565" s="7"/>
    </row>
    <row r="566" spans="1:11" x14ac:dyDescent="0.2">
      <c r="A566" s="5">
        <v>50</v>
      </c>
      <c r="B566" s="6">
        <v>200</v>
      </c>
      <c r="C566" s="6">
        <v>5</v>
      </c>
      <c r="D566" s="6">
        <v>100</v>
      </c>
      <c r="E566" s="6">
        <v>48.711155378486062</v>
      </c>
      <c r="F566" s="6">
        <v>1.2760691025303166</v>
      </c>
      <c r="G566" s="6">
        <v>1.1089758557917078</v>
      </c>
      <c r="H566" s="6">
        <v>0.23630553571869381</v>
      </c>
      <c r="I566" s="6"/>
      <c r="J566" s="6"/>
      <c r="K566" s="7"/>
    </row>
    <row r="567" spans="1:11" x14ac:dyDescent="0.2">
      <c r="A567" s="5">
        <v>50</v>
      </c>
      <c r="B567" s="6">
        <v>200</v>
      </c>
      <c r="C567" s="6">
        <v>5</v>
      </c>
      <c r="D567" s="6">
        <v>100</v>
      </c>
      <c r="E567" s="6">
        <v>35.954314720812178</v>
      </c>
      <c r="F567" s="6">
        <v>0.94188260905309895</v>
      </c>
      <c r="G567" s="6"/>
      <c r="H567" s="6"/>
      <c r="I567" s="6"/>
      <c r="J567" s="6"/>
      <c r="K567" s="7"/>
    </row>
    <row r="568" spans="1:11" x14ac:dyDescent="0.2">
      <c r="A568" s="5">
        <v>50</v>
      </c>
      <c r="B568" s="6">
        <v>200</v>
      </c>
      <c r="C568" s="6">
        <v>5</v>
      </c>
      <c r="D568" s="6">
        <v>100</v>
      </c>
      <c r="E568" s="6">
        <v>63.965317919075147</v>
      </c>
      <c r="F568" s="6">
        <v>0.50823985116994053</v>
      </c>
      <c r="G568" s="6">
        <v>0.5838408225863988</v>
      </c>
      <c r="H568" s="6">
        <v>0.10691591910573559</v>
      </c>
      <c r="I568" s="6"/>
      <c r="J568" s="6"/>
      <c r="K568" s="7"/>
    </row>
    <row r="569" spans="1:11" x14ac:dyDescent="0.2">
      <c r="A569" s="8">
        <v>50</v>
      </c>
      <c r="B569" s="9">
        <v>200</v>
      </c>
      <c r="C569" s="9">
        <v>5</v>
      </c>
      <c r="D569" s="9">
        <v>100</v>
      </c>
      <c r="E569" s="9">
        <v>82.995073891625609</v>
      </c>
      <c r="F569" s="9">
        <v>0.65944179400285707</v>
      </c>
      <c r="G569" s="9"/>
      <c r="H569" s="9"/>
      <c r="I569" s="9"/>
      <c r="J569" s="9"/>
      <c r="K569" s="10"/>
    </row>
    <row r="570" spans="1:11" x14ac:dyDescent="0.2">
      <c r="A570" s="11">
        <v>50</v>
      </c>
      <c r="B570" s="3">
        <v>200</v>
      </c>
      <c r="C570" s="3">
        <v>5</v>
      </c>
      <c r="D570" s="3">
        <v>200</v>
      </c>
      <c r="E570" s="3"/>
      <c r="F570" s="3"/>
      <c r="G570" s="3"/>
      <c r="H570" s="3"/>
      <c r="I570" s="3"/>
      <c r="J570" s="3">
        <f>AVERAGE(E570:E577)</f>
        <v>46.215123832564331</v>
      </c>
      <c r="K570" s="12">
        <f t="shared" ref="K570" si="67">AVERAGE(F570:F577)</f>
        <v>0.77324671973250492</v>
      </c>
    </row>
    <row r="571" spans="1:11" x14ac:dyDescent="0.2">
      <c r="A571" s="5">
        <v>50</v>
      </c>
      <c r="B571" s="6">
        <v>200</v>
      </c>
      <c r="C571" s="6">
        <v>5</v>
      </c>
      <c r="D571" s="6">
        <v>200</v>
      </c>
      <c r="E571" s="6">
        <v>28.790657439446367</v>
      </c>
      <c r="F571" s="6">
        <v>0.66208226990117569</v>
      </c>
      <c r="G571" s="6"/>
      <c r="H571" s="6"/>
      <c r="I571" s="6"/>
      <c r="J571" s="6"/>
      <c r="K571" s="7"/>
    </row>
    <row r="572" spans="1:11" x14ac:dyDescent="0.2">
      <c r="A572" s="5">
        <v>50</v>
      </c>
      <c r="B572" s="6">
        <v>200</v>
      </c>
      <c r="C572" s="6">
        <v>5</v>
      </c>
      <c r="D572" s="6">
        <v>200</v>
      </c>
      <c r="E572" s="6">
        <v>20.212290502793294</v>
      </c>
      <c r="F572" s="6">
        <v>0.46023787947700884</v>
      </c>
      <c r="G572" s="6">
        <v>0.46023787947700884</v>
      </c>
      <c r="H572" s="6"/>
      <c r="I572" s="6"/>
      <c r="J572" s="6"/>
      <c r="K572" s="7"/>
    </row>
    <row r="573" spans="1:11" x14ac:dyDescent="0.2">
      <c r="A573" s="5">
        <v>50</v>
      </c>
      <c r="B573" s="6">
        <v>200</v>
      </c>
      <c r="C573" s="6">
        <v>5</v>
      </c>
      <c r="D573" s="6">
        <v>200</v>
      </c>
      <c r="E573" s="6"/>
      <c r="F573" s="6"/>
      <c r="G573" s="6"/>
      <c r="H573" s="6"/>
      <c r="I573" s="6"/>
      <c r="J573" s="6"/>
      <c r="K573" s="7"/>
    </row>
    <row r="574" spans="1:11" x14ac:dyDescent="0.2">
      <c r="A574" s="5">
        <v>50</v>
      </c>
      <c r="B574" s="6">
        <v>200</v>
      </c>
      <c r="C574" s="6">
        <v>5</v>
      </c>
      <c r="D574" s="6">
        <v>200</v>
      </c>
      <c r="E574" s="6">
        <v>49.452899575671864</v>
      </c>
      <c r="F574" s="6">
        <v>1.2955003158664717</v>
      </c>
      <c r="G574" s="6">
        <v>1.2224038363981582</v>
      </c>
      <c r="H574" s="6">
        <v>0.10337403262581565</v>
      </c>
      <c r="I574" s="6"/>
      <c r="J574" s="6"/>
      <c r="K574" s="7"/>
    </row>
    <row r="575" spans="1:11" x14ac:dyDescent="0.2">
      <c r="A575" s="5">
        <v>50</v>
      </c>
      <c r="B575" s="6">
        <v>200</v>
      </c>
      <c r="C575" s="6">
        <v>5</v>
      </c>
      <c r="D575" s="6">
        <v>200</v>
      </c>
      <c r="E575" s="6">
        <v>43.872302158273385</v>
      </c>
      <c r="F575" s="6">
        <v>1.1493073569298444</v>
      </c>
      <c r="G575" s="6"/>
      <c r="H575" s="6"/>
      <c r="I575" s="6"/>
      <c r="J575" s="6"/>
      <c r="K575" s="7"/>
    </row>
    <row r="576" spans="1:11" x14ac:dyDescent="0.2">
      <c r="A576" s="5">
        <v>50</v>
      </c>
      <c r="B576" s="6">
        <v>200</v>
      </c>
      <c r="C576" s="6">
        <v>5</v>
      </c>
      <c r="D576" s="6">
        <v>200</v>
      </c>
      <c r="E576" s="6">
        <v>67.264480111653882</v>
      </c>
      <c r="F576" s="6">
        <v>0.5344535206441241</v>
      </c>
      <c r="G576" s="6">
        <v>0.53617624811026432</v>
      </c>
      <c r="H576" s="6">
        <v>2.4363045468881318E-3</v>
      </c>
      <c r="I576" s="6"/>
      <c r="J576" s="6"/>
      <c r="K576" s="7"/>
    </row>
    <row r="577" spans="1:11" x14ac:dyDescent="0.2">
      <c r="A577" s="8">
        <v>50</v>
      </c>
      <c r="B577" s="9">
        <v>200</v>
      </c>
      <c r="C577" s="9">
        <v>5</v>
      </c>
      <c r="D577" s="9">
        <v>200</v>
      </c>
      <c r="E577" s="9">
        <v>67.698113207547166</v>
      </c>
      <c r="F577" s="9">
        <v>0.53789897557640454</v>
      </c>
      <c r="G577" s="9"/>
      <c r="H577" s="9"/>
      <c r="I577" s="9"/>
      <c r="J577" s="9"/>
      <c r="K577" s="10"/>
    </row>
    <row r="578" spans="1:11" x14ac:dyDescent="0.2">
      <c r="A578" s="11">
        <v>50</v>
      </c>
      <c r="B578" s="3">
        <v>200</v>
      </c>
      <c r="C578" s="3">
        <v>20</v>
      </c>
      <c r="D578" s="3">
        <v>25</v>
      </c>
      <c r="E578" s="3">
        <v>52.658653846153861</v>
      </c>
      <c r="F578" s="3">
        <v>1.2792006262638682</v>
      </c>
      <c r="G578" s="3">
        <v>1.2593305272121564</v>
      </c>
      <c r="H578" s="3">
        <v>2.8100563564627409E-2</v>
      </c>
      <c r="I578" s="3"/>
      <c r="J578" s="3">
        <f>AVERAGE(E578:E585)</f>
        <v>55.828319480379619</v>
      </c>
      <c r="K578" s="12">
        <f t="shared" ref="K578" si="68">AVERAGE(F578:F585)</f>
        <v>0.72616303782913139</v>
      </c>
    </row>
    <row r="579" spans="1:11" x14ac:dyDescent="0.2">
      <c r="A579" s="5">
        <v>50</v>
      </c>
      <c r="B579" s="6">
        <v>200</v>
      </c>
      <c r="C579" s="6">
        <v>20</v>
      </c>
      <c r="D579" s="6">
        <v>25</v>
      </c>
      <c r="E579" s="6">
        <v>51.022737405260813</v>
      </c>
      <c r="F579" s="6">
        <v>1.2394604281604449</v>
      </c>
      <c r="G579" s="6"/>
      <c r="H579" s="6"/>
      <c r="I579" s="6"/>
      <c r="J579" s="6"/>
      <c r="K579" s="7"/>
    </row>
    <row r="580" spans="1:11" x14ac:dyDescent="0.2">
      <c r="A580" s="5">
        <v>50</v>
      </c>
      <c r="B580" s="6">
        <v>200</v>
      </c>
      <c r="C580" s="6">
        <v>20</v>
      </c>
      <c r="D580" s="6">
        <v>25</v>
      </c>
      <c r="E580" s="6">
        <v>39.808463251670375</v>
      </c>
      <c r="F580" s="6">
        <v>0.85495964354641607</v>
      </c>
      <c r="G580" s="6">
        <v>0.58833984567910724</v>
      </c>
      <c r="H580" s="6">
        <v>0.37705733414112153</v>
      </c>
      <c r="I580" s="6"/>
      <c r="J580" s="6"/>
      <c r="K580" s="7"/>
    </row>
    <row r="581" spans="1:11" x14ac:dyDescent="0.2">
      <c r="A581" s="5">
        <v>50</v>
      </c>
      <c r="B581" s="6">
        <v>200</v>
      </c>
      <c r="C581" s="6">
        <v>20</v>
      </c>
      <c r="D581" s="6">
        <v>25</v>
      </c>
      <c r="E581" s="6">
        <v>14.979865771812081</v>
      </c>
      <c r="F581" s="6">
        <v>0.32172004781179847</v>
      </c>
      <c r="G581" s="6"/>
      <c r="H581" s="6"/>
      <c r="I581" s="6"/>
      <c r="J581" s="6"/>
      <c r="K581" s="7"/>
    </row>
    <row r="582" spans="1:11" x14ac:dyDescent="0.2">
      <c r="A582" s="5">
        <v>50</v>
      </c>
      <c r="B582" s="6">
        <v>200</v>
      </c>
      <c r="C582" s="6">
        <v>20</v>
      </c>
      <c r="D582" s="6">
        <v>25</v>
      </c>
      <c r="E582" s="6">
        <v>53.497358490566036</v>
      </c>
      <c r="F582" s="6">
        <v>0.38745150209251999</v>
      </c>
      <c r="G582" s="6">
        <v>0.49770155620677642</v>
      </c>
      <c r="H582" s="6">
        <v>0.15591712178074901</v>
      </c>
      <c r="I582" s="6"/>
      <c r="J582" s="6"/>
      <c r="K582" s="7"/>
    </row>
    <row r="583" spans="1:11" x14ac:dyDescent="0.2">
      <c r="A583" s="5">
        <v>50</v>
      </c>
      <c r="B583" s="6">
        <v>200</v>
      </c>
      <c r="C583" s="6">
        <v>20</v>
      </c>
      <c r="D583" s="6">
        <v>25</v>
      </c>
      <c r="E583" s="6">
        <v>83.942906574394442</v>
      </c>
      <c r="F583" s="6">
        <v>0.60795161032103284</v>
      </c>
      <c r="G583" s="6"/>
      <c r="H583" s="6"/>
      <c r="I583" s="6"/>
      <c r="J583" s="6"/>
      <c r="K583" s="7"/>
    </row>
    <row r="584" spans="1:11" x14ac:dyDescent="0.2">
      <c r="A584" s="5">
        <v>50</v>
      </c>
      <c r="B584" s="6">
        <v>200</v>
      </c>
      <c r="C584" s="6">
        <v>20</v>
      </c>
      <c r="D584" s="6">
        <v>25</v>
      </c>
      <c r="E584" s="6">
        <v>88.164753544902098</v>
      </c>
      <c r="F584" s="6">
        <v>0.65432490654225239</v>
      </c>
      <c r="G584" s="6">
        <v>0.55928022221848495</v>
      </c>
      <c r="H584" s="6">
        <v>0.13441348160214206</v>
      </c>
      <c r="I584" s="6"/>
      <c r="J584" s="6"/>
      <c r="K584" s="7"/>
    </row>
    <row r="585" spans="1:11" x14ac:dyDescent="0.2">
      <c r="A585" s="8">
        <v>50</v>
      </c>
      <c r="B585" s="9">
        <v>200</v>
      </c>
      <c r="C585" s="9">
        <v>20</v>
      </c>
      <c r="D585" s="9">
        <v>25</v>
      </c>
      <c r="E585" s="9">
        <v>62.551816958277243</v>
      </c>
      <c r="F585" s="9">
        <v>0.46423553789471761</v>
      </c>
      <c r="G585" s="9"/>
      <c r="H585" s="9"/>
      <c r="I585" s="9"/>
      <c r="J585" s="9"/>
      <c r="K585" s="10"/>
    </row>
    <row r="586" spans="1:11" x14ac:dyDescent="0.2">
      <c r="A586" s="11">
        <v>50</v>
      </c>
      <c r="B586" s="3">
        <v>200</v>
      </c>
      <c r="C586" s="3">
        <v>20</v>
      </c>
      <c r="D586" s="3">
        <v>100</v>
      </c>
      <c r="E586" s="3">
        <v>54.224699063753896</v>
      </c>
      <c r="F586" s="3">
        <v>1.3172434905756725</v>
      </c>
      <c r="G586" s="3">
        <v>1.192347097534866</v>
      </c>
      <c r="H586" s="3">
        <v>0.17663017292978844</v>
      </c>
      <c r="I586" s="3"/>
      <c r="J586" s="3">
        <f>AVERAGE(E586:E593)</f>
        <v>53.005454829102703</v>
      </c>
      <c r="K586" s="12">
        <f t="shared" ref="K586" si="69">AVERAGE(F586:F593)</f>
        <v>0.70656998289392425</v>
      </c>
    </row>
    <row r="587" spans="1:11" x14ac:dyDescent="0.2">
      <c r="A587" s="5">
        <v>50</v>
      </c>
      <c r="B587" s="6">
        <v>200</v>
      </c>
      <c r="C587" s="6">
        <v>20</v>
      </c>
      <c r="D587" s="6">
        <v>100</v>
      </c>
      <c r="E587" s="6">
        <v>43.941908713692953</v>
      </c>
      <c r="F587" s="6">
        <v>1.0674507044940595</v>
      </c>
      <c r="G587" s="6"/>
      <c r="H587" s="6"/>
      <c r="I587" s="6"/>
      <c r="J587" s="6"/>
      <c r="K587" s="7"/>
    </row>
    <row r="588" spans="1:11" x14ac:dyDescent="0.2">
      <c r="A588" s="5">
        <v>50</v>
      </c>
      <c r="B588" s="6">
        <v>200</v>
      </c>
      <c r="C588" s="6">
        <v>20</v>
      </c>
      <c r="D588" s="6">
        <v>100</v>
      </c>
      <c r="E588" s="6">
        <v>46.742280285035626</v>
      </c>
      <c r="F588" s="6">
        <v>1.0038760611881665</v>
      </c>
      <c r="G588" s="6">
        <v>0.66593291049384751</v>
      </c>
      <c r="H588" s="6">
        <v>0.47792378702300081</v>
      </c>
      <c r="I588" s="6"/>
      <c r="J588" s="6"/>
      <c r="K588" s="7"/>
    </row>
    <row r="589" spans="1:11" x14ac:dyDescent="0.2">
      <c r="A589" s="5">
        <v>50</v>
      </c>
      <c r="B589" s="6">
        <v>200</v>
      </c>
      <c r="C589" s="6">
        <v>20</v>
      </c>
      <c r="D589" s="6">
        <v>100</v>
      </c>
      <c r="E589" s="6">
        <v>15.271794871794867</v>
      </c>
      <c r="F589" s="6">
        <v>0.32798975979952855</v>
      </c>
      <c r="G589" s="6"/>
      <c r="H589" s="6"/>
      <c r="I589" s="6"/>
      <c r="J589" s="6"/>
      <c r="K589" s="7"/>
    </row>
    <row r="590" spans="1:11" x14ac:dyDescent="0.2">
      <c r="A590" s="5">
        <v>50</v>
      </c>
      <c r="B590" s="6">
        <v>200</v>
      </c>
      <c r="C590" s="6">
        <v>20</v>
      </c>
      <c r="D590" s="6">
        <v>100</v>
      </c>
      <c r="E590" s="6">
        <v>58.359583952451707</v>
      </c>
      <c r="F590" s="6">
        <v>0.42266588672521754</v>
      </c>
      <c r="G590" s="6">
        <v>0.45048689012519072</v>
      </c>
      <c r="H590" s="6">
        <v>3.9344840327070058E-2</v>
      </c>
      <c r="I590" s="6"/>
      <c r="J590" s="6"/>
      <c r="K590" s="7"/>
    </row>
    <row r="591" spans="1:11" x14ac:dyDescent="0.2">
      <c r="A591" s="5">
        <v>50</v>
      </c>
      <c r="B591" s="6">
        <v>200</v>
      </c>
      <c r="C591" s="6">
        <v>20</v>
      </c>
      <c r="D591" s="6">
        <v>100</v>
      </c>
      <c r="E591" s="6">
        <v>66.042352941176475</v>
      </c>
      <c r="F591" s="6">
        <v>0.4783078935251639</v>
      </c>
      <c r="G591" s="6"/>
      <c r="H591" s="6"/>
      <c r="I591" s="6"/>
      <c r="J591" s="6"/>
      <c r="K591" s="7"/>
    </row>
    <row r="592" spans="1:11" x14ac:dyDescent="0.2">
      <c r="A592" s="5">
        <v>50</v>
      </c>
      <c r="B592" s="6">
        <v>200</v>
      </c>
      <c r="C592" s="6">
        <v>20</v>
      </c>
      <c r="D592" s="6">
        <v>100</v>
      </c>
      <c r="E592" s="6">
        <v>81.09967426710098</v>
      </c>
      <c r="F592" s="6">
        <v>0.60189060425833107</v>
      </c>
      <c r="G592" s="6">
        <v>0.51751303342179256</v>
      </c>
      <c r="H592" s="6">
        <v>0.1193279050371287</v>
      </c>
      <c r="I592" s="6"/>
      <c r="J592" s="6"/>
      <c r="K592" s="7"/>
    </row>
    <row r="593" spans="1:11" x14ac:dyDescent="0.2">
      <c r="A593" s="8">
        <v>50</v>
      </c>
      <c r="B593" s="9">
        <v>200</v>
      </c>
      <c r="C593" s="9">
        <v>20</v>
      </c>
      <c r="D593" s="9">
        <v>100</v>
      </c>
      <c r="E593" s="9">
        <v>58.361344537815121</v>
      </c>
      <c r="F593" s="9">
        <v>0.43313546258525393</v>
      </c>
      <c r="G593" s="9"/>
      <c r="H593" s="9"/>
      <c r="I593" s="9"/>
      <c r="J593" s="9"/>
      <c r="K593" s="10"/>
    </row>
    <row r="594" spans="1:11" x14ac:dyDescent="0.2">
      <c r="A594" s="11">
        <v>50</v>
      </c>
      <c r="B594" s="3">
        <v>200</v>
      </c>
      <c r="C594" s="3">
        <v>20</v>
      </c>
      <c r="D594" s="3">
        <v>200</v>
      </c>
      <c r="E594" s="3">
        <v>53.27875915553642</v>
      </c>
      <c r="F594" s="3">
        <v>1.2942644200028655</v>
      </c>
      <c r="G594" s="3">
        <v>1.1176418943607473</v>
      </c>
      <c r="H594" s="3">
        <v>0.24978197118367382</v>
      </c>
      <c r="I594" s="3"/>
      <c r="J594" s="3">
        <f>AVERAGE(E594:E601)</f>
        <v>49.891904906944845</v>
      </c>
      <c r="K594" s="12">
        <f t="shared" ref="K594" si="70">AVERAGE(F594:F601)</f>
        <v>0.64172087496024499</v>
      </c>
    </row>
    <row r="595" spans="1:11" x14ac:dyDescent="0.2">
      <c r="A595" s="5">
        <v>50</v>
      </c>
      <c r="B595" s="6">
        <v>200</v>
      </c>
      <c r="C595" s="6">
        <v>20</v>
      </c>
      <c r="D595" s="6">
        <v>200</v>
      </c>
      <c r="E595" s="6">
        <v>38.737327188940085</v>
      </c>
      <c r="F595" s="6">
        <v>0.94101936871862935</v>
      </c>
      <c r="G595" s="6"/>
      <c r="H595" s="6"/>
      <c r="I595" s="6"/>
      <c r="J595" s="6"/>
      <c r="K595" s="7"/>
    </row>
    <row r="596" spans="1:11" x14ac:dyDescent="0.2">
      <c r="A596" s="5">
        <v>50</v>
      </c>
      <c r="B596" s="6">
        <v>200</v>
      </c>
      <c r="C596" s="6">
        <v>20</v>
      </c>
      <c r="D596" s="6">
        <v>200</v>
      </c>
      <c r="E596" s="6">
        <v>25.513365318711443</v>
      </c>
      <c r="F596" s="6">
        <v>0.54794623898574524</v>
      </c>
      <c r="G596" s="6">
        <v>0.49247653204948327</v>
      </c>
      <c r="H596" s="6">
        <v>7.8446011850122621E-2</v>
      </c>
      <c r="I596" s="6"/>
      <c r="J596" s="6"/>
      <c r="K596" s="7"/>
    </row>
    <row r="597" spans="1:11" x14ac:dyDescent="0.2">
      <c r="A597" s="5">
        <v>50</v>
      </c>
      <c r="B597" s="6">
        <v>200</v>
      </c>
      <c r="C597" s="6">
        <v>20</v>
      </c>
      <c r="D597" s="6">
        <v>200</v>
      </c>
      <c r="E597" s="6">
        <v>20.34782608695652</v>
      </c>
      <c r="F597" s="6">
        <v>0.43700682511322131</v>
      </c>
      <c r="G597" s="6"/>
      <c r="H597" s="6"/>
      <c r="I597" s="6"/>
      <c r="J597" s="6"/>
      <c r="K597" s="7"/>
    </row>
    <row r="598" spans="1:11" x14ac:dyDescent="0.2">
      <c r="A598" s="5">
        <v>50</v>
      </c>
      <c r="B598" s="6">
        <v>200</v>
      </c>
      <c r="C598" s="6">
        <v>20</v>
      </c>
      <c r="D598" s="6">
        <v>200</v>
      </c>
      <c r="E598" s="6">
        <v>62.347826086956516</v>
      </c>
      <c r="F598" s="6">
        <v>0.45155049802794311</v>
      </c>
      <c r="G598" s="6">
        <v>0.51387630319507815</v>
      </c>
      <c r="H598" s="6">
        <v>8.8141998953185405E-2</v>
      </c>
      <c r="I598" s="6"/>
      <c r="J598" s="6"/>
      <c r="K598" s="7"/>
    </row>
    <row r="599" spans="1:11" x14ac:dyDescent="0.2">
      <c r="A599" s="5">
        <v>50</v>
      </c>
      <c r="B599" s="6">
        <v>200</v>
      </c>
      <c r="C599" s="6">
        <v>20</v>
      </c>
      <c r="D599" s="6">
        <v>200</v>
      </c>
      <c r="E599" s="6">
        <v>79.559094719195301</v>
      </c>
      <c r="F599" s="6">
        <v>0.57620210836221319</v>
      </c>
      <c r="G599" s="6"/>
      <c r="H599" s="6"/>
      <c r="I599" s="6"/>
      <c r="J599" s="6"/>
      <c r="K599" s="7"/>
    </row>
    <row r="600" spans="1:11" x14ac:dyDescent="0.2">
      <c r="A600" s="5">
        <v>50</v>
      </c>
      <c r="B600" s="6">
        <v>200</v>
      </c>
      <c r="C600" s="6">
        <v>20</v>
      </c>
      <c r="D600" s="6">
        <v>200</v>
      </c>
      <c r="E600" s="6">
        <v>75.648183556405357</v>
      </c>
      <c r="F600" s="6">
        <v>0.56143173598763174</v>
      </c>
      <c r="G600" s="6">
        <v>0.44288877023567153</v>
      </c>
      <c r="H600" s="6">
        <v>0.16764506989035136</v>
      </c>
      <c r="I600" s="6"/>
      <c r="J600" s="6"/>
      <c r="K600" s="7"/>
    </row>
    <row r="601" spans="1:11" x14ac:dyDescent="0.2">
      <c r="A601" s="8">
        <v>50</v>
      </c>
      <c r="B601" s="9">
        <v>200</v>
      </c>
      <c r="C601" s="9">
        <v>20</v>
      </c>
      <c r="D601" s="9">
        <v>200</v>
      </c>
      <c r="E601" s="9">
        <v>43.702857142857141</v>
      </c>
      <c r="F601" s="9">
        <v>0.32434580448371131</v>
      </c>
      <c r="G601" s="9"/>
      <c r="H601" s="9"/>
      <c r="I601" s="9"/>
      <c r="J601" s="9"/>
      <c r="K601" s="10"/>
    </row>
    <row r="602" spans="1:11" x14ac:dyDescent="0.2">
      <c r="A602" s="11">
        <v>50</v>
      </c>
      <c r="B602" s="3">
        <v>500</v>
      </c>
      <c r="C602" s="3">
        <v>2</v>
      </c>
      <c r="D602" s="3">
        <v>25</v>
      </c>
      <c r="E602" s="3">
        <v>23.076889500860585</v>
      </c>
      <c r="F602" s="3">
        <v>0.49799593587733026</v>
      </c>
      <c r="G602" s="3">
        <v>0.48213261454217471</v>
      </c>
      <c r="H602" s="3">
        <v>2.24341241764595E-2</v>
      </c>
      <c r="I602" s="3"/>
      <c r="J602" s="3">
        <f>AVERAGE(E602:E609)</f>
        <v>54.64441270250515</v>
      </c>
      <c r="K602" s="12">
        <f t="shared" ref="K602" si="71">AVERAGE(F602:F609)</f>
        <v>0.64803653315589527</v>
      </c>
    </row>
    <row r="603" spans="1:11" x14ac:dyDescent="0.2">
      <c r="A603" s="5">
        <v>50</v>
      </c>
      <c r="B603" s="6">
        <v>500</v>
      </c>
      <c r="C603" s="6">
        <v>2</v>
      </c>
      <c r="D603" s="6">
        <v>25</v>
      </c>
      <c r="E603" s="6">
        <v>21.60669230769231</v>
      </c>
      <c r="F603" s="6">
        <v>0.4662692932070191</v>
      </c>
      <c r="G603" s="6"/>
      <c r="H603" s="6"/>
      <c r="I603" s="6"/>
      <c r="J603" s="6"/>
      <c r="K603" s="7"/>
    </row>
    <row r="604" spans="1:11" x14ac:dyDescent="0.2">
      <c r="A604" s="5">
        <v>50</v>
      </c>
      <c r="B604" s="6">
        <v>500</v>
      </c>
      <c r="C604" s="6">
        <v>2</v>
      </c>
      <c r="D604" s="6">
        <v>25</v>
      </c>
      <c r="E604" s="6">
        <v>20.22926267281106</v>
      </c>
      <c r="F604" s="6">
        <v>0.56875666609476472</v>
      </c>
      <c r="G604" s="6">
        <v>0.56875666609476472</v>
      </c>
      <c r="H604" s="6"/>
      <c r="I604" s="6"/>
      <c r="J604" s="6"/>
      <c r="K604" s="7"/>
    </row>
    <row r="605" spans="1:11" x14ac:dyDescent="0.2">
      <c r="A605" s="5">
        <v>50</v>
      </c>
      <c r="B605" s="6">
        <v>500</v>
      </c>
      <c r="C605" s="6">
        <v>2</v>
      </c>
      <c r="D605" s="6">
        <v>25</v>
      </c>
      <c r="E605" s="6"/>
      <c r="F605" s="6"/>
      <c r="G605" s="6"/>
      <c r="H605" s="6"/>
      <c r="I605" s="6"/>
      <c r="J605" s="6"/>
      <c r="K605" s="7"/>
    </row>
    <row r="606" spans="1:11" x14ac:dyDescent="0.2">
      <c r="A606" s="5">
        <v>50</v>
      </c>
      <c r="B606" s="6">
        <v>500</v>
      </c>
      <c r="C606" s="6">
        <v>2</v>
      </c>
      <c r="D606" s="6">
        <v>25</v>
      </c>
      <c r="E606" s="6">
        <v>73.884476534296041</v>
      </c>
      <c r="F606" s="6">
        <v>0.84888299541035583</v>
      </c>
      <c r="G606" s="6">
        <v>0.84888299541035583</v>
      </c>
      <c r="H606" s="6"/>
      <c r="I606" s="6"/>
      <c r="J606" s="6"/>
      <c r="K606" s="7"/>
    </row>
    <row r="607" spans="1:11" x14ac:dyDescent="0.2">
      <c r="A607" s="5">
        <v>50</v>
      </c>
      <c r="B607" s="6">
        <v>500</v>
      </c>
      <c r="C607" s="6">
        <v>2</v>
      </c>
      <c r="D607" s="6">
        <v>25</v>
      </c>
      <c r="E607" s="6"/>
      <c r="F607" s="6"/>
      <c r="G607" s="6"/>
      <c r="H607" s="6"/>
      <c r="I607" s="6"/>
      <c r="J607" s="6"/>
      <c r="K607" s="7"/>
    </row>
    <row r="608" spans="1:11" x14ac:dyDescent="0.2">
      <c r="A608" s="5">
        <v>50</v>
      </c>
      <c r="B608" s="6">
        <v>500</v>
      </c>
      <c r="C608" s="6">
        <v>2</v>
      </c>
      <c r="D608" s="6">
        <v>25</v>
      </c>
      <c r="E608" s="6">
        <v>90.128037937166567</v>
      </c>
      <c r="F608" s="6">
        <v>0.71805024455066646</v>
      </c>
      <c r="G608" s="6">
        <v>0.75315715417295048</v>
      </c>
      <c r="H608" s="6">
        <v>4.9648667720840652E-2</v>
      </c>
      <c r="I608" s="6"/>
      <c r="J608" s="6"/>
      <c r="K608" s="7"/>
    </row>
    <row r="609" spans="1:11" x14ac:dyDescent="0.2">
      <c r="A609" s="8">
        <v>50</v>
      </c>
      <c r="B609" s="9">
        <v>500</v>
      </c>
      <c r="C609" s="9">
        <v>2</v>
      </c>
      <c r="D609" s="9">
        <v>25</v>
      </c>
      <c r="E609" s="9">
        <v>98.941117262204344</v>
      </c>
      <c r="F609" s="9">
        <v>0.78826406379523462</v>
      </c>
      <c r="G609" s="9"/>
      <c r="H609" s="9"/>
      <c r="I609" s="9"/>
      <c r="J609" s="9"/>
      <c r="K609" s="10"/>
    </row>
    <row r="610" spans="1:11" x14ac:dyDescent="0.2">
      <c r="A610" s="11">
        <v>50</v>
      </c>
      <c r="B610" s="3">
        <v>500</v>
      </c>
      <c r="C610" s="3">
        <v>2</v>
      </c>
      <c r="D610" s="3">
        <v>100</v>
      </c>
      <c r="E610" s="3">
        <v>25.482760600078958</v>
      </c>
      <c r="F610" s="3">
        <v>0.54991428603499759</v>
      </c>
      <c r="G610" s="3">
        <v>0.46631459710146655</v>
      </c>
      <c r="H610" s="3">
        <v>0.11822781389997161</v>
      </c>
      <c r="I610" s="3"/>
      <c r="J610" s="3">
        <f>AVERAGE(E610:E617)</f>
        <v>48.61362859658783</v>
      </c>
      <c r="K610" s="12">
        <f t="shared" ref="K610" si="72">AVERAGE(F610:F617)</f>
        <v>0.5859938357580724</v>
      </c>
    </row>
    <row r="611" spans="1:11" x14ac:dyDescent="0.2">
      <c r="A611" s="5">
        <v>50</v>
      </c>
      <c r="B611" s="6">
        <v>500</v>
      </c>
      <c r="C611" s="6">
        <v>2</v>
      </c>
      <c r="D611" s="6">
        <v>100</v>
      </c>
      <c r="E611" s="6">
        <v>17.734822736181886</v>
      </c>
      <c r="F611" s="6">
        <v>0.38271490816793552</v>
      </c>
      <c r="G611" s="6"/>
      <c r="H611" s="6"/>
      <c r="I611" s="6"/>
      <c r="J611" s="6"/>
      <c r="K611" s="7"/>
    </row>
    <row r="612" spans="1:11" x14ac:dyDescent="0.2">
      <c r="A612" s="5">
        <v>50</v>
      </c>
      <c r="B612" s="6">
        <v>500</v>
      </c>
      <c r="C612" s="6">
        <v>2</v>
      </c>
      <c r="D612" s="6">
        <v>100</v>
      </c>
      <c r="E612" s="6">
        <v>17.959595959595962</v>
      </c>
      <c r="F612" s="6">
        <v>0.50494375833666405</v>
      </c>
      <c r="G612" s="6">
        <v>0.50494375833666405</v>
      </c>
      <c r="H612" s="6"/>
      <c r="I612" s="6"/>
      <c r="J612" s="6"/>
      <c r="K612" s="7"/>
    </row>
    <row r="613" spans="1:11" x14ac:dyDescent="0.2">
      <c r="A613" s="5">
        <v>50</v>
      </c>
      <c r="B613" s="6">
        <v>500</v>
      </c>
      <c r="C613" s="6">
        <v>2</v>
      </c>
      <c r="D613" s="6">
        <v>100</v>
      </c>
      <c r="E613" s="6"/>
      <c r="F613" s="6"/>
      <c r="G613" s="6"/>
      <c r="H613" s="6"/>
      <c r="I613" s="6"/>
      <c r="J613" s="6"/>
      <c r="K613" s="7"/>
    </row>
    <row r="614" spans="1:11" x14ac:dyDescent="0.2">
      <c r="A614" s="5">
        <v>50</v>
      </c>
      <c r="B614" s="6">
        <v>500</v>
      </c>
      <c r="C614" s="6">
        <v>2</v>
      </c>
      <c r="D614" s="6">
        <v>100</v>
      </c>
      <c r="E614" s="6">
        <v>68.693110647181626</v>
      </c>
      <c r="F614" s="6">
        <v>0.7892376892345826</v>
      </c>
      <c r="G614" s="6">
        <v>0.7892376892345826</v>
      </c>
      <c r="H614" s="6"/>
      <c r="I614" s="6"/>
      <c r="J614" s="6"/>
      <c r="K614" s="7"/>
    </row>
    <row r="615" spans="1:11" x14ac:dyDescent="0.2">
      <c r="A615" s="5">
        <v>50</v>
      </c>
      <c r="B615" s="6">
        <v>500</v>
      </c>
      <c r="C615" s="6">
        <v>2</v>
      </c>
      <c r="D615" s="6">
        <v>100</v>
      </c>
      <c r="E615" s="6"/>
      <c r="F615" s="6"/>
      <c r="G615" s="6"/>
      <c r="H615" s="6"/>
      <c r="I615" s="6"/>
      <c r="J615" s="6"/>
      <c r="K615" s="7"/>
    </row>
    <row r="616" spans="1:11" x14ac:dyDescent="0.2">
      <c r="A616" s="5">
        <v>50</v>
      </c>
      <c r="B616" s="6">
        <v>500</v>
      </c>
      <c r="C616" s="6">
        <v>2</v>
      </c>
      <c r="D616" s="6">
        <v>100</v>
      </c>
      <c r="E616" s="6">
        <v>85.733000623830307</v>
      </c>
      <c r="F616" s="6">
        <v>0.68303497416554459</v>
      </c>
      <c r="G616" s="6">
        <v>0.6445761863871271</v>
      </c>
      <c r="H616" s="6">
        <v>5.4388939268666725E-2</v>
      </c>
      <c r="I616" s="6"/>
      <c r="J616" s="6"/>
      <c r="K616" s="7"/>
    </row>
    <row r="617" spans="1:11" x14ac:dyDescent="0.2">
      <c r="A617" s="8">
        <v>50</v>
      </c>
      <c r="B617" s="9">
        <v>500</v>
      </c>
      <c r="C617" s="9">
        <v>2</v>
      </c>
      <c r="D617" s="9">
        <v>100</v>
      </c>
      <c r="E617" s="9">
        <v>76.07848101265823</v>
      </c>
      <c r="F617" s="9">
        <v>0.6061173986087095</v>
      </c>
      <c r="G617" s="9"/>
      <c r="H617" s="9"/>
      <c r="I617" s="9"/>
      <c r="J617" s="9"/>
      <c r="K617" s="10"/>
    </row>
    <row r="618" spans="1:11" x14ac:dyDescent="0.2">
      <c r="A618" s="11">
        <v>50</v>
      </c>
      <c r="B618" s="3">
        <v>500</v>
      </c>
      <c r="C618" s="3">
        <v>2</v>
      </c>
      <c r="D618" s="3">
        <v>200</v>
      </c>
      <c r="E618" s="3">
        <v>24.914383475783474</v>
      </c>
      <c r="F618" s="3">
        <v>0.53764878994488374</v>
      </c>
      <c r="G618" s="3">
        <v>0.45496553905797998</v>
      </c>
      <c r="H618" s="3">
        <v>0.11693177478535656</v>
      </c>
      <c r="I618" s="3"/>
      <c r="J618" s="3">
        <f>AVERAGE(E618:E625)</f>
        <v>50.429936166833379</v>
      </c>
      <c r="K618" s="12">
        <f t="shared" ref="K618" si="73">AVERAGE(F618:F625)</f>
        <v>0.66852279919310786</v>
      </c>
    </row>
    <row r="619" spans="1:11" x14ac:dyDescent="0.2">
      <c r="A619" s="5">
        <v>50</v>
      </c>
      <c r="B619" s="6">
        <v>500</v>
      </c>
      <c r="C619" s="6">
        <v>2</v>
      </c>
      <c r="D619" s="6">
        <v>200</v>
      </c>
      <c r="E619" s="6">
        <v>17.25138019874862</v>
      </c>
      <c r="F619" s="6">
        <v>0.37228228817107623</v>
      </c>
      <c r="G619" s="6"/>
      <c r="H619" s="6"/>
      <c r="I619" s="6"/>
      <c r="J619" s="6"/>
      <c r="K619" s="7"/>
    </row>
    <row r="620" spans="1:11" x14ac:dyDescent="0.2">
      <c r="A620" s="5">
        <v>50</v>
      </c>
      <c r="B620" s="6">
        <v>500</v>
      </c>
      <c r="C620" s="6">
        <v>2</v>
      </c>
      <c r="D620" s="6">
        <v>200</v>
      </c>
      <c r="E620" s="6">
        <v>43.121975806451616</v>
      </c>
      <c r="F620" s="6">
        <v>1.2123976830880907</v>
      </c>
      <c r="G620" s="6">
        <v>1.2123976830880907</v>
      </c>
      <c r="H620" s="6"/>
      <c r="I620" s="6"/>
      <c r="J620" s="6"/>
      <c r="K620" s="7"/>
    </row>
    <row r="621" spans="1:11" x14ac:dyDescent="0.2">
      <c r="A621" s="5">
        <v>50</v>
      </c>
      <c r="B621" s="6">
        <v>500</v>
      </c>
      <c r="C621" s="6">
        <v>2</v>
      </c>
      <c r="D621" s="6">
        <v>200</v>
      </c>
      <c r="E621" s="6"/>
      <c r="F621" s="6"/>
      <c r="G621" s="6"/>
      <c r="H621" s="6"/>
      <c r="I621" s="6"/>
      <c r="J621" s="6"/>
      <c r="K621" s="7"/>
    </row>
    <row r="622" spans="1:11" x14ac:dyDescent="0.2">
      <c r="A622" s="5">
        <v>50</v>
      </c>
      <c r="B622" s="6">
        <v>500</v>
      </c>
      <c r="C622" s="6">
        <v>2</v>
      </c>
      <c r="D622" s="6">
        <v>200</v>
      </c>
      <c r="E622" s="6">
        <v>44.755434782608702</v>
      </c>
      <c r="F622" s="6">
        <v>0.51420987629950032</v>
      </c>
      <c r="G622" s="6">
        <v>0.51420987629950032</v>
      </c>
      <c r="H622" s="6"/>
      <c r="I622" s="6"/>
      <c r="J622" s="6"/>
      <c r="K622" s="7"/>
    </row>
    <row r="623" spans="1:11" x14ac:dyDescent="0.2">
      <c r="A623" s="5">
        <v>50</v>
      </c>
      <c r="B623" s="6">
        <v>500</v>
      </c>
      <c r="C623" s="6">
        <v>2</v>
      </c>
      <c r="D623" s="6">
        <v>200</v>
      </c>
      <c r="E623" s="6"/>
      <c r="F623" s="6"/>
      <c r="G623" s="6"/>
      <c r="H623" s="6"/>
      <c r="I623" s="6"/>
      <c r="J623" s="6"/>
      <c r="K623" s="7"/>
    </row>
    <row r="624" spans="1:11" x14ac:dyDescent="0.2">
      <c r="A624" s="5">
        <v>50</v>
      </c>
      <c r="B624" s="6">
        <v>500</v>
      </c>
      <c r="C624" s="6">
        <v>2</v>
      </c>
      <c r="D624" s="6">
        <v>200</v>
      </c>
      <c r="E624" s="6">
        <v>82.061647895672806</v>
      </c>
      <c r="F624" s="6">
        <v>0.65378530020589287</v>
      </c>
      <c r="G624" s="6">
        <v>0.68729907882754815</v>
      </c>
      <c r="H624" s="6">
        <v>4.7395640253114303E-2</v>
      </c>
      <c r="I624" s="6"/>
      <c r="J624" s="6"/>
      <c r="K624" s="7"/>
    </row>
    <row r="625" spans="1:11" x14ac:dyDescent="0.2">
      <c r="A625" s="8">
        <v>50</v>
      </c>
      <c r="B625" s="9">
        <v>500</v>
      </c>
      <c r="C625" s="9">
        <v>2</v>
      </c>
      <c r="D625" s="9">
        <v>200</v>
      </c>
      <c r="E625" s="9">
        <v>90.474794841735061</v>
      </c>
      <c r="F625" s="9">
        <v>0.72081285744920331</v>
      </c>
      <c r="G625" s="9"/>
      <c r="H625" s="9"/>
      <c r="I625" s="9"/>
      <c r="J625" s="9"/>
      <c r="K625" s="10"/>
    </row>
    <row r="626" spans="1:11" x14ac:dyDescent="0.2">
      <c r="A626" s="11">
        <v>50</v>
      </c>
      <c r="B626" s="3">
        <v>500</v>
      </c>
      <c r="C626" s="3">
        <v>5</v>
      </c>
      <c r="D626" s="3">
        <v>25</v>
      </c>
      <c r="E626" s="3"/>
      <c r="F626" s="3"/>
      <c r="G626" s="3"/>
      <c r="H626" s="3"/>
      <c r="I626" s="3"/>
      <c r="J626" s="3">
        <f>AVERAGE(E626:E633)</f>
        <v>54.449632802741824</v>
      </c>
      <c r="K626" s="12">
        <f t="shared" ref="K626" si="74">AVERAGE(F626:F633)</f>
        <v>0.80953523866791632</v>
      </c>
    </row>
    <row r="627" spans="1:11" x14ac:dyDescent="0.2">
      <c r="A627" s="5">
        <v>50</v>
      </c>
      <c r="B627" s="6">
        <v>500</v>
      </c>
      <c r="C627" s="6">
        <v>5</v>
      </c>
      <c r="D627" s="6">
        <v>25</v>
      </c>
      <c r="E627" s="6">
        <v>19.711210762331838</v>
      </c>
      <c r="F627" s="6">
        <v>0.45328743157301454</v>
      </c>
      <c r="G627" s="6"/>
      <c r="H627" s="6"/>
      <c r="I627" s="6"/>
      <c r="J627" s="6"/>
      <c r="K627" s="7"/>
    </row>
    <row r="628" spans="1:11" x14ac:dyDescent="0.2">
      <c r="A628" s="5">
        <v>50</v>
      </c>
      <c r="B628" s="6">
        <v>500</v>
      </c>
      <c r="C628" s="6">
        <v>5</v>
      </c>
      <c r="D628" s="6">
        <v>25</v>
      </c>
      <c r="E628" s="6">
        <v>14.102272727272727</v>
      </c>
      <c r="F628" s="6">
        <v>0.3211115580843989</v>
      </c>
      <c r="G628" s="6">
        <v>0.3211115580843989</v>
      </c>
      <c r="H628" s="6"/>
      <c r="I628" s="6"/>
      <c r="J628" s="6"/>
      <c r="K628" s="7"/>
    </row>
    <row r="629" spans="1:11" x14ac:dyDescent="0.2">
      <c r="A629" s="5">
        <v>50</v>
      </c>
      <c r="B629" s="6">
        <v>500</v>
      </c>
      <c r="C629" s="6">
        <v>5</v>
      </c>
      <c r="D629" s="6">
        <v>25</v>
      </c>
      <c r="E629" s="6"/>
      <c r="F629" s="6"/>
      <c r="G629" s="6"/>
      <c r="H629" s="6"/>
      <c r="I629" s="6"/>
      <c r="J629" s="6"/>
      <c r="K629" s="7"/>
    </row>
    <row r="630" spans="1:11" x14ac:dyDescent="0.2">
      <c r="A630" s="5">
        <v>50</v>
      </c>
      <c r="B630" s="6">
        <v>500</v>
      </c>
      <c r="C630" s="6">
        <v>5</v>
      </c>
      <c r="D630" s="6">
        <v>25</v>
      </c>
      <c r="E630" s="6">
        <v>50.117982873453855</v>
      </c>
      <c r="F630" s="6">
        <v>1.3129232704302511</v>
      </c>
      <c r="G630" s="6">
        <v>1.2600078984700418</v>
      </c>
      <c r="H630" s="6">
        <v>7.4833636684145208E-2</v>
      </c>
      <c r="I630" s="6"/>
      <c r="J630" s="6"/>
      <c r="K630" s="7"/>
    </row>
    <row r="631" spans="1:11" x14ac:dyDescent="0.2">
      <c r="A631" s="5">
        <v>50</v>
      </c>
      <c r="B631" s="6">
        <v>500</v>
      </c>
      <c r="C631" s="6">
        <v>5</v>
      </c>
      <c r="D631" s="6">
        <v>25</v>
      </c>
      <c r="E631" s="6">
        <v>46.078125</v>
      </c>
      <c r="F631" s="6">
        <v>1.2070925265098322</v>
      </c>
      <c r="G631" s="6"/>
      <c r="H631" s="6"/>
      <c r="I631" s="6"/>
      <c r="J631" s="6"/>
      <c r="K631" s="7"/>
    </row>
    <row r="632" spans="1:11" x14ac:dyDescent="0.2">
      <c r="A632" s="5">
        <v>50</v>
      </c>
      <c r="B632" s="6">
        <v>500</v>
      </c>
      <c r="C632" s="6">
        <v>5</v>
      </c>
      <c r="D632" s="6">
        <v>25</v>
      </c>
      <c r="E632" s="6">
        <v>123.83157894736841</v>
      </c>
      <c r="F632" s="6">
        <v>0.9839104268030382</v>
      </c>
      <c r="G632" s="6">
        <v>0.78139832270500054</v>
      </c>
      <c r="H632" s="6">
        <v>0.28639536416015687</v>
      </c>
      <c r="I632" s="6"/>
      <c r="J632" s="6"/>
      <c r="K632" s="7"/>
    </row>
    <row r="633" spans="1:11" x14ac:dyDescent="0.2">
      <c r="A633" s="8">
        <v>50</v>
      </c>
      <c r="B633" s="9">
        <v>500</v>
      </c>
      <c r="C633" s="9">
        <v>5</v>
      </c>
      <c r="D633" s="9">
        <v>25</v>
      </c>
      <c r="E633" s="9">
        <v>72.856626506024085</v>
      </c>
      <c r="F633" s="9">
        <v>0.57888621860696299</v>
      </c>
      <c r="G633" s="9"/>
      <c r="H633" s="9"/>
      <c r="I633" s="9"/>
      <c r="J633" s="9"/>
      <c r="K633" s="10"/>
    </row>
    <row r="634" spans="1:11" x14ac:dyDescent="0.2">
      <c r="A634" s="11">
        <v>50</v>
      </c>
      <c r="B634" s="3">
        <v>500</v>
      </c>
      <c r="C634" s="3">
        <v>5</v>
      </c>
      <c r="D634" s="3">
        <v>100</v>
      </c>
      <c r="E634" s="3"/>
      <c r="F634" s="3"/>
      <c r="G634" s="3"/>
      <c r="H634" s="3"/>
      <c r="I634" s="3"/>
      <c r="J634" s="3">
        <f>AVERAGE(E634:E641)</f>
        <v>52.106824469176239</v>
      </c>
      <c r="K634" s="12">
        <f t="shared" ref="K634" si="75">AVERAGE(F634:F641)</f>
        <v>0.67254242134159037</v>
      </c>
    </row>
    <row r="635" spans="1:11" x14ac:dyDescent="0.2">
      <c r="A635" s="5">
        <v>50</v>
      </c>
      <c r="B635" s="6">
        <v>500</v>
      </c>
      <c r="C635" s="6">
        <v>5</v>
      </c>
      <c r="D635" s="6">
        <v>100</v>
      </c>
      <c r="E635" s="6">
        <v>19.14373356704645</v>
      </c>
      <c r="F635" s="6">
        <v>0.44023748332636808</v>
      </c>
      <c r="G635" s="6"/>
      <c r="H635" s="6"/>
      <c r="I635" s="6"/>
      <c r="J635" s="6"/>
      <c r="K635" s="7"/>
    </row>
    <row r="636" spans="1:11" x14ac:dyDescent="0.2">
      <c r="A636" s="5">
        <v>50</v>
      </c>
      <c r="B636" s="6">
        <v>500</v>
      </c>
      <c r="C636" s="6">
        <v>5</v>
      </c>
      <c r="D636" s="6">
        <v>100</v>
      </c>
      <c r="E636" s="6">
        <v>20.246136233543218</v>
      </c>
      <c r="F636" s="6">
        <v>0.46100855350564213</v>
      </c>
      <c r="G636" s="6">
        <v>0.46100855350564213</v>
      </c>
      <c r="H636" s="6"/>
      <c r="I636" s="6"/>
      <c r="J636" s="6"/>
      <c r="K636" s="7"/>
    </row>
    <row r="637" spans="1:11" x14ac:dyDescent="0.2">
      <c r="A637" s="5">
        <v>50</v>
      </c>
      <c r="B637" s="6">
        <v>500</v>
      </c>
      <c r="C637" s="6">
        <v>5</v>
      </c>
      <c r="D637" s="6">
        <v>100</v>
      </c>
      <c r="E637" s="6"/>
      <c r="F637" s="6"/>
      <c r="G637" s="6"/>
      <c r="H637" s="6"/>
      <c r="I637" s="6"/>
      <c r="J637" s="6"/>
      <c r="K637" s="7"/>
    </row>
    <row r="638" spans="1:11" x14ac:dyDescent="0.2">
      <c r="A638" s="5">
        <v>50</v>
      </c>
      <c r="B638" s="6">
        <v>500</v>
      </c>
      <c r="C638" s="6">
        <v>5</v>
      </c>
      <c r="D638" s="6">
        <v>100</v>
      </c>
      <c r="E638" s="6">
        <v>13.333858143745571</v>
      </c>
      <c r="F638" s="6">
        <v>0.34930241876937362</v>
      </c>
      <c r="G638" s="6">
        <v>0.69103145586746495</v>
      </c>
      <c r="H638" s="6">
        <v>0.48327783892081927</v>
      </c>
      <c r="I638" s="6"/>
      <c r="J638" s="6"/>
      <c r="K638" s="7"/>
    </row>
    <row r="639" spans="1:11" x14ac:dyDescent="0.2">
      <c r="A639" s="5">
        <v>50</v>
      </c>
      <c r="B639" s="6">
        <v>500</v>
      </c>
      <c r="C639" s="6">
        <v>5</v>
      </c>
      <c r="D639" s="6">
        <v>100</v>
      </c>
      <c r="E639" s="6">
        <v>39.423379769836473</v>
      </c>
      <c r="F639" s="6">
        <v>1.0327604929655563</v>
      </c>
      <c r="G639" s="6"/>
      <c r="H639" s="6"/>
      <c r="I639" s="6"/>
      <c r="J639" s="6"/>
      <c r="K639" s="7"/>
    </row>
    <row r="640" spans="1:11" x14ac:dyDescent="0.2">
      <c r="A640" s="5">
        <v>50</v>
      </c>
      <c r="B640" s="6">
        <v>500</v>
      </c>
      <c r="C640" s="6">
        <v>5</v>
      </c>
      <c r="D640" s="6">
        <v>100</v>
      </c>
      <c r="E640" s="6">
        <v>131.0956301456618</v>
      </c>
      <c r="F640" s="6">
        <v>1.041627333714721</v>
      </c>
      <c r="G640" s="6">
        <v>0.87597278974130077</v>
      </c>
      <c r="H640" s="6">
        <v>0.23427090275594062</v>
      </c>
      <c r="I640" s="6"/>
      <c r="J640" s="6"/>
      <c r="K640" s="7"/>
    </row>
    <row r="641" spans="1:11" x14ac:dyDescent="0.2">
      <c r="A641" s="8">
        <v>50</v>
      </c>
      <c r="B641" s="9">
        <v>500</v>
      </c>
      <c r="C641" s="9">
        <v>5</v>
      </c>
      <c r="D641" s="9">
        <v>100</v>
      </c>
      <c r="E641" s="9">
        <v>89.398208955223879</v>
      </c>
      <c r="F641" s="9">
        <v>0.71031824576788039</v>
      </c>
      <c r="G641" s="9"/>
      <c r="H641" s="9"/>
      <c r="I641" s="9"/>
      <c r="J641" s="9"/>
      <c r="K641" s="10"/>
    </row>
    <row r="642" spans="1:11" x14ac:dyDescent="0.2">
      <c r="A642" s="11">
        <v>50</v>
      </c>
      <c r="B642" s="3">
        <v>500</v>
      </c>
      <c r="C642" s="3">
        <v>5</v>
      </c>
      <c r="D642" s="3">
        <v>200</v>
      </c>
      <c r="E642" s="3"/>
      <c r="F642" s="3"/>
      <c r="G642" s="3"/>
      <c r="H642" s="3"/>
      <c r="I642" s="3"/>
      <c r="J642" s="3">
        <f>AVERAGE(E642:E649)</f>
        <v>56.621525993201679</v>
      </c>
      <c r="K642" s="12">
        <f t="shared" ref="K642" si="76">AVERAGE(F642:F649)</f>
        <v>0.81447651324138037</v>
      </c>
    </row>
    <row r="643" spans="1:11" x14ac:dyDescent="0.2">
      <c r="A643" s="5">
        <v>50</v>
      </c>
      <c r="B643" s="6">
        <v>500</v>
      </c>
      <c r="C643" s="6">
        <v>5</v>
      </c>
      <c r="D643" s="6">
        <v>200</v>
      </c>
      <c r="E643" s="6">
        <v>18.879671457905541</v>
      </c>
      <c r="F643" s="6">
        <v>0.43416499814666643</v>
      </c>
      <c r="G643" s="6"/>
      <c r="H643" s="6"/>
      <c r="I643" s="6"/>
      <c r="J643" s="6"/>
      <c r="K643" s="7"/>
    </row>
    <row r="644" spans="1:11" x14ac:dyDescent="0.2">
      <c r="A644" s="5">
        <v>50</v>
      </c>
      <c r="B644" s="6">
        <v>500</v>
      </c>
      <c r="C644" s="6">
        <v>5</v>
      </c>
      <c r="D644" s="6">
        <v>200</v>
      </c>
      <c r="E644" s="6">
        <v>19.543153049482164</v>
      </c>
      <c r="F644" s="6">
        <v>0.44500148642457366</v>
      </c>
      <c r="G644" s="6">
        <v>0.44500148642457366</v>
      </c>
      <c r="H644" s="6"/>
      <c r="I644" s="6"/>
      <c r="J644" s="6"/>
      <c r="K644" s="7"/>
    </row>
    <row r="645" spans="1:11" x14ac:dyDescent="0.2">
      <c r="A645" s="5">
        <v>50</v>
      </c>
      <c r="B645" s="6">
        <v>500</v>
      </c>
      <c r="C645" s="6">
        <v>5</v>
      </c>
      <c r="D645" s="6">
        <v>200</v>
      </c>
      <c r="E645" s="6"/>
      <c r="F645" s="6"/>
      <c r="G645" s="6"/>
      <c r="H645" s="6"/>
      <c r="I645" s="6"/>
      <c r="J645" s="6"/>
      <c r="K645" s="7"/>
    </row>
    <row r="646" spans="1:11" x14ac:dyDescent="0.2">
      <c r="A646" s="5">
        <v>50</v>
      </c>
      <c r="B646" s="6">
        <v>500</v>
      </c>
      <c r="C646" s="6">
        <v>5</v>
      </c>
      <c r="D646" s="6">
        <v>200</v>
      </c>
      <c r="E646" s="6">
        <v>48.217647058823523</v>
      </c>
      <c r="F646" s="6">
        <v>1.2631408376663475</v>
      </c>
      <c r="G646" s="6">
        <v>1.1580714165935588</v>
      </c>
      <c r="H646" s="6">
        <v>0.14859060027182744</v>
      </c>
      <c r="I646" s="6"/>
      <c r="J646" s="6"/>
      <c r="K646" s="7"/>
    </row>
    <row r="647" spans="1:11" x14ac:dyDescent="0.2">
      <c r="A647" s="5">
        <v>50</v>
      </c>
      <c r="B647" s="6">
        <v>500</v>
      </c>
      <c r="C647" s="6">
        <v>5</v>
      </c>
      <c r="D647" s="6">
        <v>200</v>
      </c>
      <c r="E647" s="6">
        <v>40.196054991034075</v>
      </c>
      <c r="F647" s="6">
        <v>1.0530019955207699</v>
      </c>
      <c r="G647" s="6"/>
      <c r="H647" s="6"/>
      <c r="I647" s="6"/>
      <c r="J647" s="6"/>
      <c r="K647" s="7"/>
    </row>
    <row r="648" spans="1:11" x14ac:dyDescent="0.2">
      <c r="A648" s="5">
        <v>50</v>
      </c>
      <c r="B648" s="6">
        <v>500</v>
      </c>
      <c r="C648" s="6">
        <v>5</v>
      </c>
      <c r="D648" s="6">
        <v>200</v>
      </c>
      <c r="E648" s="6">
        <v>128.98224852071007</v>
      </c>
      <c r="F648" s="6">
        <v>1.0248353470964471</v>
      </c>
      <c r="G648" s="6">
        <v>0.84577488084496255</v>
      </c>
      <c r="H648" s="6">
        <v>0.2532297398576987</v>
      </c>
      <c r="I648" s="6"/>
      <c r="J648" s="6"/>
      <c r="K648" s="7"/>
    </row>
    <row r="649" spans="1:11" x14ac:dyDescent="0.2">
      <c r="A649" s="8">
        <v>50</v>
      </c>
      <c r="B649" s="9">
        <v>500</v>
      </c>
      <c r="C649" s="9">
        <v>5</v>
      </c>
      <c r="D649" s="9">
        <v>200</v>
      </c>
      <c r="E649" s="9">
        <v>83.910380881254667</v>
      </c>
      <c r="F649" s="9">
        <v>0.66671441459347791</v>
      </c>
      <c r="G649" s="9"/>
      <c r="H649" s="9"/>
      <c r="I649" s="9"/>
      <c r="J649" s="9"/>
      <c r="K649" s="10"/>
    </row>
    <row r="650" spans="1:11" x14ac:dyDescent="0.2">
      <c r="A650" s="11">
        <v>50</v>
      </c>
      <c r="B650" s="3">
        <v>500</v>
      </c>
      <c r="C650" s="3">
        <v>20</v>
      </c>
      <c r="D650" s="3">
        <v>25</v>
      </c>
      <c r="E650" s="3">
        <v>32.696854146806487</v>
      </c>
      <c r="F650" s="3">
        <v>0.7942822925867129</v>
      </c>
      <c r="G650" s="3">
        <v>0.67885329920146831</v>
      </c>
      <c r="H650" s="3">
        <v>0.16324124793648734</v>
      </c>
      <c r="I650" s="3"/>
      <c r="J650" s="3">
        <f>AVERAGE(E650:E657)</f>
        <v>35.108094105457901</v>
      </c>
      <c r="K650" s="12">
        <f t="shared" ref="K650" si="77">AVERAGE(F650:F657)</f>
        <v>0.42595983757219974</v>
      </c>
    </row>
    <row r="651" spans="1:11" x14ac:dyDescent="0.2">
      <c r="A651" s="5">
        <v>50</v>
      </c>
      <c r="B651" s="6">
        <v>500</v>
      </c>
      <c r="C651" s="6">
        <v>20</v>
      </c>
      <c r="D651" s="6">
        <v>25</v>
      </c>
      <c r="E651" s="6">
        <v>23.193520140105079</v>
      </c>
      <c r="F651" s="6">
        <v>0.56342430581622371</v>
      </c>
      <c r="G651" s="6"/>
      <c r="H651" s="6"/>
      <c r="I651" s="6"/>
      <c r="J651" s="6"/>
      <c r="K651" s="7"/>
    </row>
    <row r="652" spans="1:11" x14ac:dyDescent="0.2">
      <c r="A652" s="5">
        <v>50</v>
      </c>
      <c r="B652" s="6">
        <v>500</v>
      </c>
      <c r="C652" s="6">
        <v>20</v>
      </c>
      <c r="D652" s="6">
        <v>25</v>
      </c>
      <c r="E652" s="6">
        <v>24.003291278112997</v>
      </c>
      <c r="F652" s="6">
        <v>0.51551463379373685</v>
      </c>
      <c r="G652" s="6">
        <v>0.3053303939197301</v>
      </c>
      <c r="H652" s="6">
        <v>0.2972454026269003</v>
      </c>
      <c r="I652" s="6"/>
      <c r="J652" s="6"/>
      <c r="K652" s="7"/>
    </row>
    <row r="653" spans="1:11" x14ac:dyDescent="0.2">
      <c r="A653" s="5">
        <v>50</v>
      </c>
      <c r="B653" s="6">
        <v>500</v>
      </c>
      <c r="C653" s="6">
        <v>20</v>
      </c>
      <c r="D653" s="6">
        <v>25</v>
      </c>
      <c r="E653" s="6">
        <v>4.4301765650080265</v>
      </c>
      <c r="F653" s="6">
        <v>9.5146154045723394E-2</v>
      </c>
      <c r="G653" s="6"/>
      <c r="H653" s="6"/>
      <c r="I653" s="6"/>
      <c r="J653" s="6"/>
      <c r="K653" s="7"/>
    </row>
    <row r="654" spans="1:11" x14ac:dyDescent="0.2">
      <c r="A654" s="5">
        <v>50</v>
      </c>
      <c r="B654" s="6">
        <v>500</v>
      </c>
      <c r="C654" s="6">
        <v>20</v>
      </c>
      <c r="D654" s="6">
        <v>25</v>
      </c>
      <c r="E654" s="6">
        <v>30.138248847926263</v>
      </c>
      <c r="F654" s="6">
        <v>0.21827451141585588</v>
      </c>
      <c r="G654" s="6">
        <v>0.39086941510095663</v>
      </c>
      <c r="H654" s="6">
        <v>0.24408605358794766</v>
      </c>
      <c r="I654" s="6"/>
      <c r="J654" s="6"/>
      <c r="K654" s="7"/>
    </row>
    <row r="655" spans="1:11" x14ac:dyDescent="0.2">
      <c r="A655" s="5">
        <v>50</v>
      </c>
      <c r="B655" s="6">
        <v>500</v>
      </c>
      <c r="C655" s="6">
        <v>20</v>
      </c>
      <c r="D655" s="6">
        <v>25</v>
      </c>
      <c r="E655" s="6">
        <v>77.800324675324674</v>
      </c>
      <c r="F655" s="6">
        <v>0.56346431878605741</v>
      </c>
      <c r="G655" s="6"/>
      <c r="H655" s="6"/>
      <c r="I655" s="6"/>
      <c r="J655" s="6"/>
      <c r="K655" s="7"/>
    </row>
    <row r="656" spans="1:11" x14ac:dyDescent="0.2">
      <c r="A656" s="5">
        <v>50</v>
      </c>
      <c r="B656" s="6">
        <v>500</v>
      </c>
      <c r="C656" s="6">
        <v>20</v>
      </c>
      <c r="D656" s="6">
        <v>25</v>
      </c>
      <c r="E656" s="6">
        <v>53.259930313588853</v>
      </c>
      <c r="F656" s="6">
        <v>0.39527472741289116</v>
      </c>
      <c r="G656" s="6">
        <v>0.3287862420666437</v>
      </c>
      <c r="H656" s="6">
        <v>9.4028917718307806E-2</v>
      </c>
      <c r="I656" s="6"/>
      <c r="J656" s="6"/>
      <c r="K656" s="7"/>
    </row>
    <row r="657" spans="1:11" x14ac:dyDescent="0.2">
      <c r="A657" s="8">
        <v>50</v>
      </c>
      <c r="B657" s="9">
        <v>500</v>
      </c>
      <c r="C657" s="9">
        <v>20</v>
      </c>
      <c r="D657" s="9">
        <v>25</v>
      </c>
      <c r="E657" s="9">
        <v>35.342406876790832</v>
      </c>
      <c r="F657" s="9">
        <v>0.26229775672039624</v>
      </c>
      <c r="G657" s="9"/>
      <c r="H657" s="9"/>
      <c r="I657" s="9"/>
      <c r="J657" s="9"/>
      <c r="K657" s="10"/>
    </row>
    <row r="658" spans="1:11" x14ac:dyDescent="0.2">
      <c r="A658" s="11">
        <v>50</v>
      </c>
      <c r="B658" s="3">
        <v>500</v>
      </c>
      <c r="C658" s="3">
        <v>20</v>
      </c>
      <c r="D658" s="3">
        <v>100</v>
      </c>
      <c r="E658" s="3">
        <v>42.982758620689658</v>
      </c>
      <c r="F658" s="3">
        <v>1.0441507279463209</v>
      </c>
      <c r="G658" s="3">
        <v>0.82774664018832844</v>
      </c>
      <c r="H658" s="3">
        <v>0.3060415958603302</v>
      </c>
      <c r="I658" s="3"/>
      <c r="J658" s="3">
        <f>AVERAGE(E658:E665)</f>
        <v>37.518619353335453</v>
      </c>
      <c r="K658" s="12">
        <f t="shared" ref="K658" si="78">AVERAGE(F658:F665)</f>
        <v>0.46698055470416777</v>
      </c>
    </row>
    <row r="659" spans="1:11" x14ac:dyDescent="0.2">
      <c r="A659" s="5">
        <v>50</v>
      </c>
      <c r="B659" s="6">
        <v>500</v>
      </c>
      <c r="C659" s="6">
        <v>20</v>
      </c>
      <c r="D659" s="6">
        <v>100</v>
      </c>
      <c r="E659" s="6">
        <v>25.166088249876054</v>
      </c>
      <c r="F659" s="6">
        <v>0.61134255243033586</v>
      </c>
      <c r="G659" s="6"/>
      <c r="H659" s="6"/>
      <c r="I659" s="6"/>
      <c r="J659" s="6"/>
      <c r="K659" s="7"/>
    </row>
    <row r="660" spans="1:11" x14ac:dyDescent="0.2">
      <c r="A660" s="5">
        <v>50</v>
      </c>
      <c r="B660" s="6">
        <v>500</v>
      </c>
      <c r="C660" s="6">
        <v>20</v>
      </c>
      <c r="D660" s="6">
        <v>100</v>
      </c>
      <c r="E660" s="6">
        <v>16.025316455696203</v>
      </c>
      <c r="F660" s="6">
        <v>0.34417301562389863</v>
      </c>
      <c r="G660" s="6">
        <v>0.28885574456440993</v>
      </c>
      <c r="H660" s="6">
        <v>7.8230434965797638E-2</v>
      </c>
      <c r="I660" s="6"/>
      <c r="J660" s="6"/>
      <c r="K660" s="7"/>
    </row>
    <row r="661" spans="1:11" x14ac:dyDescent="0.2">
      <c r="A661" s="5">
        <v>50</v>
      </c>
      <c r="B661" s="6">
        <v>500</v>
      </c>
      <c r="C661" s="6">
        <v>20</v>
      </c>
      <c r="D661" s="6">
        <v>100</v>
      </c>
      <c r="E661" s="6">
        <v>10.873972602739727</v>
      </c>
      <c r="F661" s="6">
        <v>0.23353847350492121</v>
      </c>
      <c r="G661" s="6"/>
      <c r="H661" s="6"/>
      <c r="I661" s="6"/>
      <c r="J661" s="6"/>
      <c r="K661" s="7"/>
    </row>
    <row r="662" spans="1:11" x14ac:dyDescent="0.2">
      <c r="A662" s="5">
        <v>50</v>
      </c>
      <c r="B662" s="6">
        <v>500</v>
      </c>
      <c r="C662" s="6">
        <v>20</v>
      </c>
      <c r="D662" s="6">
        <v>100</v>
      </c>
      <c r="E662" s="6">
        <v>40.150101419878304</v>
      </c>
      <c r="F662" s="6">
        <v>0.29078477037407596</v>
      </c>
      <c r="G662" s="6">
        <v>0.39491142471045998</v>
      </c>
      <c r="H662" s="6">
        <v>0.14725732676704947</v>
      </c>
      <c r="I662" s="6"/>
      <c r="J662" s="6"/>
      <c r="K662" s="7"/>
    </row>
    <row r="663" spans="1:11" x14ac:dyDescent="0.2">
      <c r="A663" s="5">
        <v>50</v>
      </c>
      <c r="B663" s="6">
        <v>500</v>
      </c>
      <c r="C663" s="6">
        <v>20</v>
      </c>
      <c r="D663" s="6">
        <v>100</v>
      </c>
      <c r="E663" s="6">
        <v>68.904672897196264</v>
      </c>
      <c r="F663" s="6">
        <v>0.499038079046844</v>
      </c>
      <c r="G663" s="6"/>
      <c r="H663" s="6"/>
      <c r="I663" s="6"/>
      <c r="J663" s="6"/>
      <c r="K663" s="7"/>
    </row>
    <row r="664" spans="1:11" x14ac:dyDescent="0.2">
      <c r="A664" s="5">
        <v>50</v>
      </c>
      <c r="B664" s="6">
        <v>500</v>
      </c>
      <c r="C664" s="6">
        <v>20</v>
      </c>
      <c r="D664" s="6">
        <v>100</v>
      </c>
      <c r="E664" s="6">
        <v>56.699369306236861</v>
      </c>
      <c r="F664" s="6">
        <v>0.42080092135019975</v>
      </c>
      <c r="G664" s="6">
        <v>0.35640840935347251</v>
      </c>
      <c r="H664" s="6">
        <v>9.1064763781043861E-2</v>
      </c>
      <c r="I664" s="6"/>
      <c r="J664" s="6"/>
      <c r="K664" s="7"/>
    </row>
    <row r="665" spans="1:11" x14ac:dyDescent="0.2">
      <c r="A665" s="8">
        <v>50</v>
      </c>
      <c r="B665" s="9">
        <v>500</v>
      </c>
      <c r="C665" s="9">
        <v>20</v>
      </c>
      <c r="D665" s="9">
        <v>100</v>
      </c>
      <c r="E665" s="9">
        <v>39.346675274370561</v>
      </c>
      <c r="F665" s="9">
        <v>0.29201589735674527</v>
      </c>
      <c r="G665" s="9"/>
      <c r="H665" s="9"/>
      <c r="I665" s="9"/>
      <c r="J665" s="9"/>
      <c r="K665" s="10"/>
    </row>
    <row r="666" spans="1:11" x14ac:dyDescent="0.2">
      <c r="A666" s="11">
        <v>50</v>
      </c>
      <c r="B666" s="3">
        <v>500</v>
      </c>
      <c r="C666" s="3">
        <v>20</v>
      </c>
      <c r="D666" s="3">
        <v>200</v>
      </c>
      <c r="E666" s="3">
        <v>48.275071633237822</v>
      </c>
      <c r="F666" s="3">
        <v>1.1727132646912761</v>
      </c>
      <c r="G666" s="3">
        <v>0.83591121019915804</v>
      </c>
      <c r="H666" s="3">
        <v>0.47631003329787552</v>
      </c>
      <c r="I666" s="3"/>
      <c r="J666" s="3">
        <f>AVERAGE(E666:E673)</f>
        <v>42.128931316259468</v>
      </c>
      <c r="K666" s="12">
        <f t="shared" ref="K666" si="79">AVERAGE(F666:F673)</f>
        <v>0.5393030756939603</v>
      </c>
    </row>
    <row r="667" spans="1:11" x14ac:dyDescent="0.2">
      <c r="A667" s="5">
        <v>50</v>
      </c>
      <c r="B667" s="6">
        <v>500</v>
      </c>
      <c r="C667" s="6">
        <v>20</v>
      </c>
      <c r="D667" s="6">
        <v>200</v>
      </c>
      <c r="E667" s="6">
        <v>20.545968882602544</v>
      </c>
      <c r="F667" s="6">
        <v>0.4991091557070399</v>
      </c>
      <c r="G667" s="6"/>
      <c r="H667" s="6"/>
      <c r="I667" s="6"/>
      <c r="J667" s="6"/>
      <c r="K667" s="7"/>
    </row>
    <row r="668" spans="1:11" x14ac:dyDescent="0.2">
      <c r="A668" s="5">
        <v>50</v>
      </c>
      <c r="B668" s="6">
        <v>500</v>
      </c>
      <c r="C668" s="6">
        <v>20</v>
      </c>
      <c r="D668" s="6">
        <v>200</v>
      </c>
      <c r="E668" s="6">
        <v>30.49941792782305</v>
      </c>
      <c r="F668" s="6">
        <v>0.65503084897030328</v>
      </c>
      <c r="G668" s="6">
        <v>0.51487771831023976</v>
      </c>
      <c r="H668" s="6">
        <v>0.1982064581885101</v>
      </c>
      <c r="I668" s="6"/>
      <c r="J668" s="6"/>
      <c r="K668" s="7"/>
    </row>
    <row r="669" spans="1:11" x14ac:dyDescent="0.2">
      <c r="A669" s="5">
        <v>50</v>
      </c>
      <c r="B669" s="6">
        <v>500</v>
      </c>
      <c r="C669" s="6">
        <v>20</v>
      </c>
      <c r="D669" s="6">
        <v>200</v>
      </c>
      <c r="E669" s="6">
        <v>17.4478527607362</v>
      </c>
      <c r="F669" s="6">
        <v>0.37472458765017619</v>
      </c>
      <c r="G669" s="6"/>
      <c r="H669" s="6"/>
      <c r="I669" s="6"/>
      <c r="J669" s="6"/>
      <c r="K669" s="7"/>
    </row>
    <row r="670" spans="1:11" x14ac:dyDescent="0.2">
      <c r="A670" s="5">
        <v>50</v>
      </c>
      <c r="B670" s="6">
        <v>500</v>
      </c>
      <c r="C670" s="6">
        <v>20</v>
      </c>
      <c r="D670" s="6">
        <v>200</v>
      </c>
      <c r="E670" s="6">
        <v>47.437939110070261</v>
      </c>
      <c r="F670" s="6">
        <v>0.34356651025323837</v>
      </c>
      <c r="G670" s="6">
        <v>0.44183719427067558</v>
      </c>
      <c r="H670" s="6">
        <v>0.13897573412114086</v>
      </c>
      <c r="I670" s="6"/>
      <c r="J670" s="6"/>
      <c r="K670" s="7"/>
    </row>
    <row r="671" spans="1:11" x14ac:dyDescent="0.2">
      <c r="A671" s="5">
        <v>50</v>
      </c>
      <c r="B671" s="6">
        <v>500</v>
      </c>
      <c r="C671" s="6">
        <v>20</v>
      </c>
      <c r="D671" s="6">
        <v>200</v>
      </c>
      <c r="E671" s="6">
        <v>74.575384615384621</v>
      </c>
      <c r="F671" s="6">
        <v>0.5401078782881128</v>
      </c>
      <c r="G671" s="6"/>
      <c r="H671" s="6"/>
      <c r="I671" s="6"/>
      <c r="J671" s="6"/>
      <c r="K671" s="7"/>
    </row>
    <row r="672" spans="1:11" x14ac:dyDescent="0.2">
      <c r="A672" s="5">
        <v>50</v>
      </c>
      <c r="B672" s="6">
        <v>500</v>
      </c>
      <c r="C672" s="6">
        <v>20</v>
      </c>
      <c r="D672" s="6">
        <v>200</v>
      </c>
      <c r="E672" s="6">
        <v>57.795454545454533</v>
      </c>
      <c r="F672" s="6">
        <v>0.4289356446140512</v>
      </c>
      <c r="G672" s="6">
        <v>0.36458617999576753</v>
      </c>
      <c r="H672" s="6">
        <v>9.1003885594624467E-2</v>
      </c>
      <c r="I672" s="6"/>
      <c r="J672" s="6"/>
      <c r="K672" s="7"/>
    </row>
    <row r="673" spans="1:11" x14ac:dyDescent="0.2">
      <c r="A673" s="8">
        <v>50</v>
      </c>
      <c r="B673" s="9">
        <v>500</v>
      </c>
      <c r="C673" s="9">
        <v>20</v>
      </c>
      <c r="D673" s="9">
        <v>200</v>
      </c>
      <c r="E673" s="9">
        <v>40.454361054766736</v>
      </c>
      <c r="F673" s="9">
        <v>0.30023671537748386</v>
      </c>
      <c r="G673" s="9"/>
      <c r="H673" s="9"/>
      <c r="I673" s="9"/>
      <c r="J673" s="9"/>
      <c r="K673" s="10"/>
    </row>
  </sheetData>
  <sortState ref="A2:H673">
    <sortCondition ref="A26:A673"/>
    <sortCondition ref="B26:B673"/>
    <sortCondition ref="C26:C673"/>
    <sortCondition ref="D26:D67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F728-A96F-614F-8744-F7B570BD218D}">
  <dimension ref="A1:AG82"/>
  <sheetViews>
    <sheetView tabSelected="1" workbookViewId="0">
      <selection activeCell="G1" sqref="G1"/>
    </sheetView>
  </sheetViews>
  <sheetFormatPr baseColWidth="10" defaultRowHeight="15" x14ac:dyDescent="0.2"/>
  <cols>
    <col min="1" max="1" width="31.1640625" style="14" customWidth="1"/>
    <col min="2" max="2" width="18.5" style="14" customWidth="1"/>
    <col min="3" max="3" width="19.83203125" style="14" customWidth="1"/>
    <col min="4" max="4" width="17" style="14" customWidth="1"/>
    <col min="5" max="5" width="16.5" style="14" customWidth="1"/>
    <col min="6" max="6" width="30.33203125" style="14" customWidth="1"/>
    <col min="7" max="7" width="10.83203125" style="14"/>
  </cols>
  <sheetData>
    <row r="1" spans="1:30" x14ac:dyDescent="0.2">
      <c r="A1" s="14" t="s">
        <v>91</v>
      </c>
      <c r="B1" s="14" t="s">
        <v>97</v>
      </c>
      <c r="C1" s="14" t="s">
        <v>95</v>
      </c>
      <c r="D1" s="14" t="s">
        <v>8</v>
      </c>
      <c r="E1" s="14" t="s">
        <v>93</v>
      </c>
      <c r="F1" s="14" t="s">
        <v>94</v>
      </c>
      <c r="G1" s="14" t="s">
        <v>92</v>
      </c>
    </row>
    <row r="2" spans="1:30" x14ac:dyDescent="0.2">
      <c r="A2" s="14" t="s">
        <v>9</v>
      </c>
      <c r="B2" s="14">
        <v>6.8946792408072399</v>
      </c>
      <c r="C2" s="14">
        <v>26.0321794121873</v>
      </c>
      <c r="D2" s="15">
        <v>2.5355811430671798E-7</v>
      </c>
      <c r="E2" s="14">
        <v>3</v>
      </c>
      <c r="F2" s="14">
        <v>3.7037037037036999E-3</v>
      </c>
      <c r="G2" s="14" t="b">
        <v>1</v>
      </c>
    </row>
    <row r="3" spans="1:30" x14ac:dyDescent="0.2">
      <c r="A3" s="14" t="s">
        <v>10</v>
      </c>
      <c r="B3" s="14">
        <v>6.98634727598807</v>
      </c>
      <c r="C3" s="14">
        <v>26.719537643158802</v>
      </c>
      <c r="D3" s="15">
        <v>1.7470231058893199E-7</v>
      </c>
      <c r="E3" s="14">
        <v>1</v>
      </c>
      <c r="F3" s="14">
        <v>1.2345679012345601E-3</v>
      </c>
      <c r="G3" s="14" t="b">
        <v>1</v>
      </c>
    </row>
    <row r="4" spans="1:30" x14ac:dyDescent="0.2">
      <c r="A4" s="14" t="s">
        <v>11</v>
      </c>
      <c r="B4" s="14">
        <v>7.0027381635644801</v>
      </c>
      <c r="C4" s="14">
        <v>26.054678004529201</v>
      </c>
      <c r="D4" s="15">
        <v>1.9302878819517799E-7</v>
      </c>
      <c r="E4" s="14">
        <v>2</v>
      </c>
      <c r="F4" s="14">
        <v>2.4691358024691301E-3</v>
      </c>
      <c r="G4" s="14" t="b">
        <v>1</v>
      </c>
    </row>
    <row r="5" spans="1:30" x14ac:dyDescent="0.2">
      <c r="A5" s="14" t="s">
        <v>12</v>
      </c>
      <c r="B5" s="14">
        <v>6.0243356530454397</v>
      </c>
      <c r="C5" s="14">
        <v>27.0177897588812</v>
      </c>
      <c r="D5" s="15">
        <v>1.9790154971679601E-6</v>
      </c>
      <c r="E5" s="14">
        <v>20</v>
      </c>
      <c r="F5" s="14">
        <v>2.4691358024691301E-2</v>
      </c>
      <c r="G5" s="14" t="b">
        <v>1</v>
      </c>
    </row>
    <row r="6" spans="1:30" x14ac:dyDescent="0.2">
      <c r="A6" s="14" t="s">
        <v>13</v>
      </c>
      <c r="B6" s="14">
        <v>6.1852492430911603</v>
      </c>
      <c r="C6" s="14">
        <v>26.190133640784399</v>
      </c>
      <c r="D6" s="15">
        <v>1.4821779606394E-6</v>
      </c>
      <c r="E6" s="14">
        <v>16</v>
      </c>
      <c r="F6" s="14">
        <v>1.9753086419752999E-2</v>
      </c>
      <c r="G6" s="14" t="b">
        <v>1</v>
      </c>
    </row>
    <row r="7" spans="1:30" x14ac:dyDescent="0.2">
      <c r="A7" s="14" t="s">
        <v>14</v>
      </c>
      <c r="B7" s="14">
        <v>6.1894055507146399</v>
      </c>
      <c r="C7" s="14">
        <v>26.615684310535698</v>
      </c>
      <c r="D7" s="15">
        <v>1.3680609026431099E-6</v>
      </c>
      <c r="E7" s="14">
        <v>12</v>
      </c>
      <c r="F7" s="14">
        <v>1.48148148148148E-2</v>
      </c>
      <c r="G7" s="14" t="b">
        <v>1</v>
      </c>
    </row>
    <row r="8" spans="1:30" x14ac:dyDescent="0.2">
      <c r="A8" s="14" t="s">
        <v>15</v>
      </c>
      <c r="B8" s="14">
        <v>6.0281378909340599</v>
      </c>
      <c r="C8" s="14">
        <v>27.090658598290101</v>
      </c>
      <c r="D8" s="15">
        <v>1.93807396862431E-6</v>
      </c>
      <c r="E8" s="14">
        <v>19</v>
      </c>
      <c r="F8" s="14">
        <v>2.3456790123456701E-2</v>
      </c>
      <c r="G8" s="14" t="b">
        <v>1</v>
      </c>
    </row>
    <row r="9" spans="1:30" x14ac:dyDescent="0.2">
      <c r="A9" s="14" t="s">
        <v>16</v>
      </c>
      <c r="B9" s="14">
        <v>5.5838602452680002</v>
      </c>
      <c r="C9" s="14">
        <v>29.070588416808398</v>
      </c>
      <c r="D9" s="15">
        <v>4.97532414177545E-6</v>
      </c>
      <c r="E9" s="14">
        <v>25</v>
      </c>
      <c r="F9" s="14">
        <v>3.0864197530864099E-2</v>
      </c>
      <c r="G9" s="14" t="b">
        <v>1</v>
      </c>
      <c r="AD9" s="13"/>
    </row>
    <row r="10" spans="1:30" x14ac:dyDescent="0.2">
      <c r="A10" s="14" t="s">
        <v>17</v>
      </c>
      <c r="B10" s="14">
        <v>4.6858764013013703</v>
      </c>
      <c r="C10" s="14">
        <v>29.4154994654204</v>
      </c>
      <c r="D10" s="15">
        <v>5.8881295500445803E-5</v>
      </c>
      <c r="E10" s="14">
        <v>27</v>
      </c>
      <c r="F10" s="14">
        <v>3.3333333333333298E-2</v>
      </c>
      <c r="G10" s="14" t="b">
        <v>1</v>
      </c>
      <c r="AD10" s="13"/>
    </row>
    <row r="11" spans="1:30" x14ac:dyDescent="0.2">
      <c r="A11" s="14" t="s">
        <v>18</v>
      </c>
      <c r="B11" s="14">
        <v>1.7813370590906199</v>
      </c>
      <c r="C11" s="14">
        <v>17.455479655522101</v>
      </c>
      <c r="D11" s="14">
        <v>9.2264738096731205E-2</v>
      </c>
      <c r="E11" s="14">
        <v>53</v>
      </c>
      <c r="F11" s="14">
        <v>6.5432098765432101E-2</v>
      </c>
      <c r="G11" s="14" t="b">
        <v>0</v>
      </c>
      <c r="AD11" s="13"/>
    </row>
    <row r="12" spans="1:30" x14ac:dyDescent="0.2">
      <c r="A12" s="14" t="s">
        <v>19</v>
      </c>
      <c r="B12" s="14">
        <v>2.9773749670434602</v>
      </c>
      <c r="C12" s="14">
        <v>20.814024246069799</v>
      </c>
      <c r="D12" s="14">
        <v>7.22993502889413E-3</v>
      </c>
      <c r="E12" s="14">
        <v>40</v>
      </c>
      <c r="F12" s="14">
        <v>4.9382716049382699E-2</v>
      </c>
      <c r="G12" s="14" t="b">
        <v>1</v>
      </c>
      <c r="AD12" s="13"/>
    </row>
    <row r="13" spans="1:30" x14ac:dyDescent="0.2">
      <c r="A13" s="14" t="s">
        <v>20</v>
      </c>
      <c r="B13" s="14">
        <v>2.6543411752185602</v>
      </c>
      <c r="C13" s="14">
        <v>16.047889314962799</v>
      </c>
      <c r="D13" s="14">
        <v>1.7283202958760201E-2</v>
      </c>
      <c r="E13" s="14">
        <v>42</v>
      </c>
      <c r="F13" s="14">
        <v>5.1851851851851802E-2</v>
      </c>
      <c r="G13" s="14" t="b">
        <v>1</v>
      </c>
      <c r="AD13" s="13"/>
    </row>
    <row r="14" spans="1:30" x14ac:dyDescent="0.2">
      <c r="A14" s="14" t="s">
        <v>21</v>
      </c>
      <c r="B14" s="14">
        <v>1.0188287025890801</v>
      </c>
      <c r="C14" s="14">
        <v>12.275115465208</v>
      </c>
      <c r="D14" s="14">
        <v>0.32794529228469099</v>
      </c>
      <c r="E14" s="14">
        <v>73</v>
      </c>
      <c r="F14" s="14">
        <v>9.0123456790123402E-2</v>
      </c>
      <c r="G14" s="14" t="b">
        <v>0</v>
      </c>
      <c r="AD14" s="13"/>
    </row>
    <row r="15" spans="1:30" x14ac:dyDescent="0.2">
      <c r="A15" s="14" t="s">
        <v>22</v>
      </c>
      <c r="B15" s="14">
        <v>1.3912156944564</v>
      </c>
      <c r="C15" s="14">
        <v>13.6905864784333</v>
      </c>
      <c r="D15" s="14">
        <v>0.18635598167380499</v>
      </c>
      <c r="E15" s="14">
        <v>64</v>
      </c>
      <c r="F15" s="14">
        <v>7.9012345679012302E-2</v>
      </c>
      <c r="G15" s="14" t="b">
        <v>0</v>
      </c>
      <c r="AD15" s="13"/>
    </row>
    <row r="16" spans="1:30" x14ac:dyDescent="0.2">
      <c r="A16" s="14" t="s">
        <v>23</v>
      </c>
      <c r="B16" s="14">
        <v>1.67168623838272</v>
      </c>
      <c r="C16" s="14">
        <v>13.724125783286301</v>
      </c>
      <c r="D16" s="14">
        <v>0.117220496413127</v>
      </c>
      <c r="E16" s="14">
        <v>59</v>
      </c>
      <c r="F16" s="14">
        <v>7.2839506172839505E-2</v>
      </c>
      <c r="G16" s="14" t="b">
        <v>0</v>
      </c>
      <c r="AD16" s="13"/>
    </row>
    <row r="17" spans="1:33" x14ac:dyDescent="0.2">
      <c r="A17" s="14" t="s">
        <v>24</v>
      </c>
      <c r="B17" s="14">
        <v>1.2488280817689099</v>
      </c>
      <c r="C17" s="14">
        <v>22.7696395198499</v>
      </c>
      <c r="D17" s="14">
        <v>0.22441543393784899</v>
      </c>
      <c r="E17" s="14">
        <v>65</v>
      </c>
      <c r="F17" s="14">
        <v>8.0246913580246895E-2</v>
      </c>
      <c r="G17" s="14" t="b">
        <v>0</v>
      </c>
      <c r="AD17" s="13"/>
    </row>
    <row r="18" spans="1:33" x14ac:dyDescent="0.2">
      <c r="A18" s="14" t="s">
        <v>25</v>
      </c>
      <c r="B18" s="14">
        <v>1.5406492071720499</v>
      </c>
      <c r="C18" s="14">
        <v>25.439636687410701</v>
      </c>
      <c r="D18" s="14">
        <v>0.13575019596020299</v>
      </c>
      <c r="E18" s="14">
        <v>62</v>
      </c>
      <c r="F18" s="14">
        <v>7.65432098765432E-2</v>
      </c>
      <c r="G18" s="14" t="b">
        <v>0</v>
      </c>
      <c r="AG18" s="13"/>
    </row>
    <row r="19" spans="1:33" x14ac:dyDescent="0.2">
      <c r="A19" s="14" t="s">
        <v>26</v>
      </c>
      <c r="B19" s="14">
        <v>1.79150547111609</v>
      </c>
      <c r="C19" s="14">
        <v>27.1597575488789</v>
      </c>
      <c r="D19" s="14">
        <v>8.43627065737418E-2</v>
      </c>
      <c r="E19" s="14">
        <v>52</v>
      </c>
      <c r="F19" s="14">
        <v>6.4197530864197494E-2</v>
      </c>
      <c r="G19" s="14" t="b">
        <v>0</v>
      </c>
      <c r="AG19" s="13"/>
    </row>
    <row r="20" spans="1:33" x14ac:dyDescent="0.2">
      <c r="A20" s="14" t="s">
        <v>27</v>
      </c>
      <c r="B20" s="14">
        <v>0.48438150273101599</v>
      </c>
      <c r="C20" s="14">
        <v>7.1152330598278501</v>
      </c>
      <c r="D20" s="14">
        <v>0.64266980240230298</v>
      </c>
      <c r="E20" s="14">
        <v>81</v>
      </c>
      <c r="F20" s="14">
        <v>0.1</v>
      </c>
      <c r="G20" s="14" t="b">
        <v>0</v>
      </c>
      <c r="AG20" s="13"/>
    </row>
    <row r="21" spans="1:33" x14ac:dyDescent="0.2">
      <c r="A21" s="14" t="s">
        <v>28</v>
      </c>
      <c r="B21" s="14">
        <v>1.1145018176561501</v>
      </c>
      <c r="C21" s="14">
        <v>9.7175055246348094</v>
      </c>
      <c r="D21" s="14">
        <v>0.29186873955866199</v>
      </c>
      <c r="E21" s="14">
        <v>68</v>
      </c>
      <c r="F21" s="14">
        <v>8.3950617283950604E-2</v>
      </c>
      <c r="G21" s="14" t="b">
        <v>0</v>
      </c>
      <c r="AG21" s="13"/>
    </row>
    <row r="22" spans="1:33" x14ac:dyDescent="0.2">
      <c r="A22" s="14" t="s">
        <v>29</v>
      </c>
      <c r="B22" s="14">
        <v>0.93721139050170899</v>
      </c>
      <c r="C22" s="14">
        <v>8.9731747166046993</v>
      </c>
      <c r="D22" s="14">
        <v>0.37318757664206698</v>
      </c>
      <c r="E22" s="14">
        <v>77</v>
      </c>
      <c r="F22" s="14">
        <v>9.5061728395061704E-2</v>
      </c>
      <c r="G22" s="14" t="b">
        <v>0</v>
      </c>
      <c r="AG22" s="13"/>
    </row>
    <row r="23" spans="1:33" x14ac:dyDescent="0.2">
      <c r="A23" s="14" t="s">
        <v>30</v>
      </c>
      <c r="B23" s="14">
        <v>0.91609054794311995</v>
      </c>
      <c r="C23" s="14">
        <v>8.7817638653824392</v>
      </c>
      <c r="D23" s="14">
        <v>0.384085880688671</v>
      </c>
      <c r="E23" s="14">
        <v>78</v>
      </c>
      <c r="F23" s="14">
        <v>9.6296296296296297E-2</v>
      </c>
      <c r="G23" s="14" t="b">
        <v>0</v>
      </c>
      <c r="AG23" s="13"/>
    </row>
    <row r="24" spans="1:33" x14ac:dyDescent="0.2">
      <c r="A24" s="14" t="s">
        <v>31</v>
      </c>
      <c r="B24" s="14">
        <v>1.0989793408738699</v>
      </c>
      <c r="C24" s="14">
        <v>8.1823719670066808</v>
      </c>
      <c r="D24" s="14">
        <v>0.30305851974051701</v>
      </c>
      <c r="E24" s="14">
        <v>69</v>
      </c>
      <c r="F24" s="14">
        <v>8.5185185185185197E-2</v>
      </c>
      <c r="G24" s="14" t="b">
        <v>0</v>
      </c>
      <c r="AG24" s="13"/>
    </row>
    <row r="25" spans="1:33" x14ac:dyDescent="0.2">
      <c r="A25" s="14" t="s">
        <v>32</v>
      </c>
      <c r="B25" s="14">
        <v>1.0466319543653</v>
      </c>
      <c r="C25" s="14">
        <v>8.8275763050028502</v>
      </c>
      <c r="D25" s="14">
        <v>0.32308000199828601</v>
      </c>
      <c r="E25" s="14">
        <v>72</v>
      </c>
      <c r="F25" s="14">
        <v>8.8888888888888795E-2</v>
      </c>
      <c r="G25" s="14" t="b">
        <v>0</v>
      </c>
      <c r="AG25" s="13"/>
    </row>
    <row r="26" spans="1:33" x14ac:dyDescent="0.2">
      <c r="A26" s="14" t="s">
        <v>33</v>
      </c>
      <c r="B26" s="14">
        <v>2.9535218085731101</v>
      </c>
      <c r="C26" s="14">
        <v>26.775718885905601</v>
      </c>
      <c r="D26" s="14">
        <v>6.4695039319311396E-3</v>
      </c>
      <c r="E26" s="14">
        <v>39</v>
      </c>
      <c r="F26" s="14">
        <v>4.81481481481481E-2</v>
      </c>
      <c r="G26" s="14" t="b">
        <v>1</v>
      </c>
      <c r="AG26" s="13"/>
    </row>
    <row r="27" spans="1:33" x14ac:dyDescent="0.2">
      <c r="A27" s="14" t="s">
        <v>34</v>
      </c>
      <c r="B27" s="14">
        <v>2.7602402069486902</v>
      </c>
      <c r="C27" s="14">
        <v>25.917376852227999</v>
      </c>
      <c r="D27" s="14">
        <v>1.0462133503505401E-2</v>
      </c>
      <c r="E27" s="14">
        <v>41</v>
      </c>
      <c r="F27" s="14">
        <v>5.0617283950617202E-2</v>
      </c>
      <c r="G27" s="14" t="b">
        <v>1</v>
      </c>
    </row>
    <row r="28" spans="1:33" x14ac:dyDescent="0.2">
      <c r="A28" s="14" t="s">
        <v>35</v>
      </c>
      <c r="B28" s="14">
        <v>3.1055921994753999</v>
      </c>
      <c r="C28" s="14">
        <v>26.2775796325462</v>
      </c>
      <c r="D28" s="14">
        <v>4.5135328476105501E-3</v>
      </c>
      <c r="E28" s="14">
        <v>35</v>
      </c>
      <c r="F28" s="14">
        <v>4.3209876543209798E-2</v>
      </c>
      <c r="G28" s="14" t="b">
        <v>1</v>
      </c>
    </row>
    <row r="29" spans="1:33" x14ac:dyDescent="0.2">
      <c r="A29" s="14" t="s">
        <v>36</v>
      </c>
      <c r="B29" s="14">
        <v>5.9405334644223702</v>
      </c>
      <c r="C29" s="14">
        <v>27.570891522128299</v>
      </c>
      <c r="D29" s="15">
        <v>2.2807856334924401E-6</v>
      </c>
      <c r="E29" s="14">
        <v>21</v>
      </c>
      <c r="F29" s="14">
        <v>2.5925925925925901E-2</v>
      </c>
      <c r="G29" s="14" t="b">
        <v>1</v>
      </c>
    </row>
    <row r="30" spans="1:33" x14ac:dyDescent="0.2">
      <c r="A30" s="14" t="s">
        <v>37</v>
      </c>
      <c r="B30" s="14">
        <v>6.9372953385827998</v>
      </c>
      <c r="C30" s="14">
        <v>23.831504305362898</v>
      </c>
      <c r="D30" s="15">
        <v>3.7111003129143799E-7</v>
      </c>
      <c r="E30" s="14">
        <v>6</v>
      </c>
      <c r="F30" s="14">
        <v>7.4074074074073999E-3</v>
      </c>
      <c r="G30" s="14" t="b">
        <v>1</v>
      </c>
    </row>
    <row r="31" spans="1:33" x14ac:dyDescent="0.2">
      <c r="A31" s="14" t="s">
        <v>38</v>
      </c>
      <c r="B31" s="14">
        <v>6.8578597965765402</v>
      </c>
      <c r="C31" s="14">
        <v>24.8087133975549</v>
      </c>
      <c r="D31" s="15">
        <v>3.5998298104022299E-7</v>
      </c>
      <c r="E31" s="14">
        <v>5</v>
      </c>
      <c r="F31" s="14">
        <v>6.1728395061728296E-3</v>
      </c>
      <c r="G31" s="14" t="b">
        <v>1</v>
      </c>
    </row>
    <row r="32" spans="1:33" x14ac:dyDescent="0.2">
      <c r="A32" s="14" t="s">
        <v>39</v>
      </c>
      <c r="B32" s="14">
        <v>6.1813991317149997</v>
      </c>
      <c r="C32" s="14">
        <v>26.429906857601299</v>
      </c>
      <c r="D32" s="15">
        <v>1.43943238935116E-6</v>
      </c>
      <c r="E32" s="14">
        <v>14</v>
      </c>
      <c r="F32" s="14">
        <v>1.72839506172839E-2</v>
      </c>
      <c r="G32" s="14" t="b">
        <v>1</v>
      </c>
    </row>
    <row r="33" spans="1:33" x14ac:dyDescent="0.2">
      <c r="A33" s="14" t="s">
        <v>40</v>
      </c>
      <c r="B33" s="14">
        <v>6.2682252010765298</v>
      </c>
      <c r="C33" s="14">
        <v>26.570045112489598</v>
      </c>
      <c r="D33" s="15">
        <v>1.1237005404186001E-6</v>
      </c>
      <c r="E33" s="14">
        <v>10</v>
      </c>
      <c r="F33" s="14">
        <v>1.23456790123456E-2</v>
      </c>
      <c r="G33" s="14" t="b">
        <v>1</v>
      </c>
    </row>
    <row r="34" spans="1:33" x14ac:dyDescent="0.2">
      <c r="A34" s="14" t="s">
        <v>41</v>
      </c>
      <c r="B34" s="14">
        <v>6.8426257317761596</v>
      </c>
      <c r="C34" s="14">
        <v>23.509389751880999</v>
      </c>
      <c r="D34" s="15">
        <v>4.9858906176756199E-7</v>
      </c>
      <c r="E34" s="14">
        <v>9</v>
      </c>
      <c r="F34" s="14">
        <v>1.1111111111111099E-2</v>
      </c>
      <c r="G34" s="14" t="b">
        <v>1</v>
      </c>
    </row>
    <row r="35" spans="1:33" x14ac:dyDescent="0.2">
      <c r="A35" s="14" t="s">
        <v>42</v>
      </c>
      <c r="B35" s="14">
        <v>6.0499399294876302</v>
      </c>
      <c r="C35" s="14">
        <v>26.805833887032701</v>
      </c>
      <c r="D35" s="15">
        <v>1.9104150212199602E-6</v>
      </c>
      <c r="E35" s="14">
        <v>18</v>
      </c>
      <c r="F35" s="14">
        <v>2.2222222222222199E-2</v>
      </c>
      <c r="G35" s="14" t="b">
        <v>1</v>
      </c>
    </row>
    <row r="36" spans="1:33" x14ac:dyDescent="0.2">
      <c r="A36" s="14" t="s">
        <v>43</v>
      </c>
      <c r="B36" s="14">
        <v>5.9391649278179397</v>
      </c>
      <c r="C36" s="14">
        <v>25.879551700407401</v>
      </c>
      <c r="D36" s="15">
        <v>2.9337548027092299E-6</v>
      </c>
      <c r="E36" s="14">
        <v>24</v>
      </c>
      <c r="F36" s="14">
        <v>2.96296296296296E-2</v>
      </c>
      <c r="G36" s="14" t="b">
        <v>1</v>
      </c>
      <c r="AD36" s="13"/>
    </row>
    <row r="37" spans="1:33" x14ac:dyDescent="0.2">
      <c r="A37" s="14" t="s">
        <v>44</v>
      </c>
      <c r="B37" s="14">
        <v>4.8337689566318298</v>
      </c>
      <c r="C37" s="14">
        <v>29.114974685046999</v>
      </c>
      <c r="D37" s="15">
        <v>3.9892678881483802E-5</v>
      </c>
      <c r="E37" s="14">
        <v>26</v>
      </c>
      <c r="F37" s="14">
        <v>3.2098765432098698E-2</v>
      </c>
      <c r="G37" s="14" t="b">
        <v>1</v>
      </c>
      <c r="AD37" s="13"/>
    </row>
    <row r="38" spans="1:33" x14ac:dyDescent="0.2">
      <c r="A38" s="14" t="s">
        <v>45</v>
      </c>
      <c r="B38" s="14">
        <v>2.4897095665191999</v>
      </c>
      <c r="C38" s="14">
        <v>17.492174767499002</v>
      </c>
      <c r="D38" s="14">
        <v>2.31081222251883E-2</v>
      </c>
      <c r="E38" s="14">
        <v>44</v>
      </c>
      <c r="F38" s="14">
        <v>5.4320987654320897E-2</v>
      </c>
      <c r="G38" s="14" t="b">
        <v>1</v>
      </c>
      <c r="AD38" s="13"/>
    </row>
    <row r="39" spans="1:33" x14ac:dyDescent="0.2">
      <c r="A39" s="14" t="s">
        <v>46</v>
      </c>
      <c r="B39" s="14">
        <v>3.0439991991208699</v>
      </c>
      <c r="C39" s="14">
        <v>20.4394407096582</v>
      </c>
      <c r="D39" s="14">
        <v>6.2989267679289902E-3</v>
      </c>
      <c r="E39" s="14">
        <v>37</v>
      </c>
      <c r="F39" s="14">
        <v>4.5679012345678997E-2</v>
      </c>
      <c r="G39" s="14" t="b">
        <v>1</v>
      </c>
      <c r="AD39" s="13"/>
    </row>
    <row r="40" spans="1:33" x14ac:dyDescent="0.2">
      <c r="A40" s="14" t="s">
        <v>47</v>
      </c>
      <c r="B40" s="14">
        <v>3.1672620829912899</v>
      </c>
      <c r="C40" s="14">
        <v>23.968451052660299</v>
      </c>
      <c r="D40" s="14">
        <v>4.1613591084887196E-3</v>
      </c>
      <c r="E40" s="14">
        <v>34</v>
      </c>
      <c r="F40" s="14">
        <v>4.1975308641975302E-2</v>
      </c>
      <c r="G40" s="14" t="b">
        <v>1</v>
      </c>
      <c r="AD40" s="13"/>
    </row>
    <row r="41" spans="1:33" x14ac:dyDescent="0.2">
      <c r="A41" s="14" t="s">
        <v>48</v>
      </c>
      <c r="B41" s="14">
        <v>1.7673117475756399</v>
      </c>
      <c r="C41" s="14">
        <v>17.7507010424487</v>
      </c>
      <c r="D41" s="14">
        <v>9.4362964413209197E-2</v>
      </c>
      <c r="E41" s="14">
        <v>54</v>
      </c>
      <c r="F41" s="14">
        <v>6.6666666666666596E-2</v>
      </c>
      <c r="G41" s="14" t="b">
        <v>0</v>
      </c>
      <c r="AD41" s="13"/>
    </row>
    <row r="42" spans="1:33" x14ac:dyDescent="0.2">
      <c r="A42" s="14" t="s">
        <v>49</v>
      </c>
      <c r="B42" s="14">
        <v>1.7209532518453301</v>
      </c>
      <c r="C42" s="14">
        <v>14.613301465841401</v>
      </c>
      <c r="D42" s="14">
        <v>0.106354448872182</v>
      </c>
      <c r="E42" s="14">
        <v>55</v>
      </c>
      <c r="F42" s="14">
        <v>6.7901234567901203E-2</v>
      </c>
      <c r="G42" s="14" t="b">
        <v>0</v>
      </c>
      <c r="AD42" s="13"/>
    </row>
    <row r="43" spans="1:33" x14ac:dyDescent="0.2">
      <c r="A43" s="14" t="s">
        <v>50</v>
      </c>
      <c r="B43" s="14">
        <v>1.69559748909487</v>
      </c>
      <c r="C43" s="14">
        <v>13.690537012111299</v>
      </c>
      <c r="D43" s="14">
        <v>0.112572925249958</v>
      </c>
      <c r="E43" s="14">
        <v>56</v>
      </c>
      <c r="F43" s="14">
        <v>6.9135802469135796E-2</v>
      </c>
      <c r="G43" s="14" t="b">
        <v>0</v>
      </c>
      <c r="AD43" s="13"/>
    </row>
    <row r="44" spans="1:33" x14ac:dyDescent="0.2">
      <c r="A44" s="14" t="s">
        <v>51</v>
      </c>
      <c r="B44" s="14">
        <v>1.64564795399797</v>
      </c>
      <c r="C44" s="14">
        <v>18.8959087689325</v>
      </c>
      <c r="D44" s="14">
        <v>0.116368369176197</v>
      </c>
      <c r="E44" s="14">
        <v>58</v>
      </c>
      <c r="F44" s="14">
        <v>7.1604938271604898E-2</v>
      </c>
      <c r="G44" s="14" t="b">
        <v>0</v>
      </c>
      <c r="AD44" s="13"/>
    </row>
    <row r="45" spans="1:33" x14ac:dyDescent="0.2">
      <c r="A45" s="14" t="s">
        <v>52</v>
      </c>
      <c r="B45" s="14">
        <v>2.2195623800856299</v>
      </c>
      <c r="C45" s="14">
        <v>27.954607257076301</v>
      </c>
      <c r="D45" s="14">
        <v>3.4735559374738399E-2</v>
      </c>
      <c r="E45" s="14">
        <v>46</v>
      </c>
      <c r="F45" s="14">
        <v>5.6790123456790097E-2</v>
      </c>
      <c r="G45" s="14" t="b">
        <v>1</v>
      </c>
      <c r="AG45" s="13"/>
    </row>
    <row r="46" spans="1:33" x14ac:dyDescent="0.2">
      <c r="A46" s="14" t="s">
        <v>53</v>
      </c>
      <c r="B46" s="14">
        <v>2.0516072974016302</v>
      </c>
      <c r="C46" s="14">
        <v>27.073458354285201</v>
      </c>
      <c r="D46" s="14">
        <v>4.9996126571965699E-2</v>
      </c>
      <c r="E46" s="14">
        <v>49</v>
      </c>
      <c r="F46" s="14">
        <v>6.0493827160493799E-2</v>
      </c>
      <c r="G46" s="14" t="b">
        <v>1</v>
      </c>
      <c r="AG46" s="13"/>
    </row>
    <row r="47" spans="1:33" x14ac:dyDescent="0.2">
      <c r="A47" s="14" t="s">
        <v>54</v>
      </c>
      <c r="B47" s="14">
        <v>1.0095602735200899</v>
      </c>
      <c r="C47" s="14">
        <v>8.0023331396362494</v>
      </c>
      <c r="D47" s="14">
        <v>0.34225398575969102</v>
      </c>
      <c r="E47" s="14">
        <v>74</v>
      </c>
      <c r="F47" s="14">
        <v>9.1358024691357995E-2</v>
      </c>
      <c r="G47" s="14" t="b">
        <v>0</v>
      </c>
      <c r="AG47" s="13"/>
    </row>
    <row r="48" spans="1:33" x14ac:dyDescent="0.2">
      <c r="A48" s="14" t="s">
        <v>55</v>
      </c>
      <c r="B48" s="14">
        <v>1.0574641640059701</v>
      </c>
      <c r="C48" s="14">
        <v>8.7488713612167999</v>
      </c>
      <c r="D48" s="14">
        <v>0.31862240121890101</v>
      </c>
      <c r="E48" s="14">
        <v>71</v>
      </c>
      <c r="F48" s="14">
        <v>8.7654320987654299E-2</v>
      </c>
      <c r="G48" s="14" t="b">
        <v>0</v>
      </c>
      <c r="AG48" s="13"/>
    </row>
    <row r="49" spans="1:33" x14ac:dyDescent="0.2">
      <c r="A49" s="14" t="s">
        <v>56</v>
      </c>
      <c r="B49" s="14">
        <v>0.75049982366935697</v>
      </c>
      <c r="C49" s="14">
        <v>8.6623526741294103</v>
      </c>
      <c r="D49" s="14">
        <v>0.472845779276794</v>
      </c>
      <c r="E49" s="14">
        <v>80</v>
      </c>
      <c r="F49" s="14">
        <v>9.8765432098765399E-2</v>
      </c>
      <c r="G49" s="14" t="b">
        <v>0</v>
      </c>
      <c r="AG49" s="13"/>
    </row>
    <row r="50" spans="1:33" x14ac:dyDescent="0.2">
      <c r="A50" s="14" t="s">
        <v>57</v>
      </c>
      <c r="B50" s="14">
        <v>1.5680590795287399</v>
      </c>
      <c r="C50" s="14">
        <v>10.0308468802441</v>
      </c>
      <c r="D50" s="14">
        <v>0.14784454804101499</v>
      </c>
      <c r="E50" s="14">
        <v>63</v>
      </c>
      <c r="F50" s="14">
        <v>7.7777777777777696E-2</v>
      </c>
      <c r="G50" s="14" t="b">
        <v>0</v>
      </c>
      <c r="AG50" s="13"/>
    </row>
    <row r="51" spans="1:33" x14ac:dyDescent="0.2">
      <c r="A51" s="14" t="s">
        <v>58</v>
      </c>
      <c r="B51" s="14">
        <v>1.0054452909404401</v>
      </c>
      <c r="C51" s="14">
        <v>7.4772163939548699</v>
      </c>
      <c r="D51" s="14">
        <v>0.34610585770439201</v>
      </c>
      <c r="E51" s="14">
        <v>75</v>
      </c>
      <c r="F51" s="14">
        <v>9.2592592592592601E-2</v>
      </c>
      <c r="G51" s="14" t="b">
        <v>0</v>
      </c>
      <c r="AG51" s="13"/>
    </row>
    <row r="52" spans="1:33" x14ac:dyDescent="0.2">
      <c r="A52" s="14" t="s">
        <v>59</v>
      </c>
      <c r="B52" s="14">
        <v>0.81842702553093105</v>
      </c>
      <c r="C52" s="14">
        <v>8.6509691518972396</v>
      </c>
      <c r="D52" s="14">
        <v>0.43507672114749002</v>
      </c>
      <c r="E52" s="14">
        <v>79</v>
      </c>
      <c r="F52" s="14">
        <v>9.7530864197530806E-2</v>
      </c>
      <c r="G52" s="14" t="b">
        <v>0</v>
      </c>
      <c r="AG52" s="13"/>
    </row>
    <row r="53" spans="1:33" x14ac:dyDescent="0.2">
      <c r="A53" s="14" t="s">
        <v>60</v>
      </c>
      <c r="B53" s="14">
        <v>3.2771591962629101</v>
      </c>
      <c r="C53" s="14">
        <v>25.7915549621918</v>
      </c>
      <c r="D53" s="14">
        <v>2.9936578674792901E-3</v>
      </c>
      <c r="E53" s="14">
        <v>33</v>
      </c>
      <c r="F53" s="14">
        <v>4.0740740740740702E-2</v>
      </c>
      <c r="G53" s="14" t="b">
        <v>1</v>
      </c>
      <c r="AG53" s="13"/>
    </row>
    <row r="54" spans="1:33" x14ac:dyDescent="0.2">
      <c r="A54" s="14" t="s">
        <v>61</v>
      </c>
      <c r="B54" s="14">
        <v>2.9924767854170402</v>
      </c>
      <c r="C54" s="14">
        <v>27.792363908890099</v>
      </c>
      <c r="D54" s="14">
        <v>5.7489386068537299E-3</v>
      </c>
      <c r="E54" s="14">
        <v>36</v>
      </c>
      <c r="F54" s="14">
        <v>4.4444444444444398E-2</v>
      </c>
      <c r="G54" s="14" t="b">
        <v>1</v>
      </c>
    </row>
    <row r="55" spans="1:33" x14ac:dyDescent="0.2">
      <c r="A55" s="14" t="s">
        <v>62</v>
      </c>
      <c r="B55" s="14">
        <v>2.4871351307793801</v>
      </c>
      <c r="C55" s="14">
        <v>24.346563567661999</v>
      </c>
      <c r="D55" s="14">
        <v>2.0112210247321499E-2</v>
      </c>
      <c r="E55" s="14">
        <v>43</v>
      </c>
      <c r="F55" s="14">
        <v>5.3086419753086402E-2</v>
      </c>
      <c r="G55" s="14" t="b">
        <v>1</v>
      </c>
    </row>
    <row r="56" spans="1:33" x14ac:dyDescent="0.2">
      <c r="A56" s="14" t="s">
        <v>63</v>
      </c>
      <c r="B56" s="14">
        <v>6.8253475665467196</v>
      </c>
      <c r="C56" s="14">
        <v>24.656043439690698</v>
      </c>
      <c r="D56" s="15">
        <v>4.02431539712413E-7</v>
      </c>
      <c r="E56" s="14">
        <v>8</v>
      </c>
      <c r="F56" s="14">
        <v>9.8765432098765395E-3</v>
      </c>
      <c r="G56" s="14" t="b">
        <v>1</v>
      </c>
    </row>
    <row r="57" spans="1:33" x14ac:dyDescent="0.2">
      <c r="A57" s="14" t="s">
        <v>64</v>
      </c>
      <c r="B57" s="14">
        <v>6.7791278837713804</v>
      </c>
      <c r="C57" s="14">
        <v>25.329409279091301</v>
      </c>
      <c r="D57" s="15">
        <v>3.9042068078132898E-7</v>
      </c>
      <c r="E57" s="14">
        <v>7</v>
      </c>
      <c r="F57" s="14">
        <v>8.6419753086419693E-3</v>
      </c>
      <c r="G57" s="14" t="b">
        <v>1</v>
      </c>
    </row>
    <row r="58" spans="1:33" x14ac:dyDescent="0.2">
      <c r="A58" s="14" t="s">
        <v>65</v>
      </c>
      <c r="B58" s="14">
        <v>6.9675172678399404</v>
      </c>
      <c r="C58" s="14">
        <v>23.868660406874699</v>
      </c>
      <c r="D58" s="15">
        <v>3.4280166824156701E-7</v>
      </c>
      <c r="E58" s="14">
        <v>4</v>
      </c>
      <c r="F58" s="14">
        <v>4.9382716049382698E-3</v>
      </c>
      <c r="G58" s="14" t="b">
        <v>1</v>
      </c>
    </row>
    <row r="59" spans="1:33" x14ac:dyDescent="0.2">
      <c r="A59" s="14" t="s">
        <v>66</v>
      </c>
      <c r="B59" s="14">
        <v>5.9336781179933702</v>
      </c>
      <c r="C59" s="14">
        <v>26.836664873216399</v>
      </c>
      <c r="D59" s="15">
        <v>2.5805519483547299E-6</v>
      </c>
      <c r="E59" s="14">
        <v>22</v>
      </c>
      <c r="F59" s="14">
        <v>2.71604938271604E-2</v>
      </c>
      <c r="G59" s="14" t="b">
        <v>1</v>
      </c>
    </row>
    <row r="60" spans="1:33" x14ac:dyDescent="0.2">
      <c r="A60" s="14" t="s">
        <v>67</v>
      </c>
      <c r="B60" s="14">
        <v>6.20861990370532</v>
      </c>
      <c r="C60" s="14">
        <v>26.042628695239198</v>
      </c>
      <c r="D60" s="15">
        <v>1.4304148962120199E-6</v>
      </c>
      <c r="E60" s="14">
        <v>13</v>
      </c>
      <c r="F60" s="14">
        <v>1.6049382716049301E-2</v>
      </c>
      <c r="G60" s="14" t="b">
        <v>1</v>
      </c>
    </row>
    <row r="61" spans="1:33" x14ac:dyDescent="0.2">
      <c r="A61" s="14" t="s">
        <v>68</v>
      </c>
      <c r="B61" s="14">
        <v>6.2946454923074704</v>
      </c>
      <c r="C61" s="14">
        <v>25.494923046484701</v>
      </c>
      <c r="D61" s="15">
        <v>1.26282140759661E-6</v>
      </c>
      <c r="E61" s="14">
        <v>11</v>
      </c>
      <c r="F61" s="14">
        <v>1.35802469135802E-2</v>
      </c>
      <c r="G61" s="14" t="b">
        <v>1</v>
      </c>
    </row>
    <row r="62" spans="1:33" x14ac:dyDescent="0.2">
      <c r="A62" s="14" t="s">
        <v>69</v>
      </c>
      <c r="B62" s="14">
        <v>6.1394102017917804</v>
      </c>
      <c r="C62" s="14">
        <v>27.100279454030499</v>
      </c>
      <c r="D62" s="15">
        <v>1.4437025878934999E-6</v>
      </c>
      <c r="E62" s="14">
        <v>15</v>
      </c>
      <c r="F62" s="14">
        <v>1.85185185185185E-2</v>
      </c>
      <c r="G62" s="14" t="b">
        <v>1</v>
      </c>
    </row>
    <row r="63" spans="1:33" x14ac:dyDescent="0.2">
      <c r="A63" s="14" t="s">
        <v>70</v>
      </c>
      <c r="B63" s="14">
        <v>6.0211813905672704</v>
      </c>
      <c r="C63" s="14">
        <v>27.631742478647901</v>
      </c>
      <c r="D63" s="15">
        <v>1.8229857358971999E-6</v>
      </c>
      <c r="E63" s="14">
        <v>17</v>
      </c>
      <c r="F63" s="14">
        <v>2.0987654320987599E-2</v>
      </c>
      <c r="G63" s="14" t="b">
        <v>1</v>
      </c>
      <c r="AD63" s="13"/>
    </row>
    <row r="64" spans="1:33" x14ac:dyDescent="0.2">
      <c r="A64" s="14" t="s">
        <v>71</v>
      </c>
      <c r="B64" s="14">
        <v>5.8666151652975396</v>
      </c>
      <c r="C64" s="14">
        <v>27.723694692851399</v>
      </c>
      <c r="D64" s="15">
        <v>2.72177824900893E-6</v>
      </c>
      <c r="E64" s="14">
        <v>23</v>
      </c>
      <c r="F64" s="14">
        <v>2.8395061728395E-2</v>
      </c>
      <c r="G64" s="14" t="b">
        <v>1</v>
      </c>
      <c r="AD64" s="13"/>
    </row>
    <row r="65" spans="1:33" x14ac:dyDescent="0.2">
      <c r="A65" s="14" t="s">
        <v>72</v>
      </c>
      <c r="B65" s="14">
        <v>3.3924166866096099</v>
      </c>
      <c r="C65" s="14">
        <v>20.056201429580501</v>
      </c>
      <c r="D65" s="14">
        <v>2.8828307713696698E-3</v>
      </c>
      <c r="E65" s="14">
        <v>32</v>
      </c>
      <c r="F65" s="14">
        <v>3.9506172839506103E-2</v>
      </c>
      <c r="G65" s="14" t="b">
        <v>1</v>
      </c>
      <c r="AD65" s="13"/>
    </row>
    <row r="66" spans="1:33" x14ac:dyDescent="0.2">
      <c r="A66" s="14" t="s">
        <v>73</v>
      </c>
      <c r="B66" s="14">
        <v>3.7700771164629101</v>
      </c>
      <c r="C66" s="14">
        <v>24.960225278037001</v>
      </c>
      <c r="D66" s="14">
        <v>8.9383416155618502E-4</v>
      </c>
      <c r="E66" s="14">
        <v>28</v>
      </c>
      <c r="F66" s="14">
        <v>3.4567901234567898E-2</v>
      </c>
      <c r="G66" s="14" t="b">
        <v>1</v>
      </c>
      <c r="AD66" s="13"/>
    </row>
    <row r="67" spans="1:33" x14ac:dyDescent="0.2">
      <c r="A67" s="14" t="s">
        <v>74</v>
      </c>
      <c r="B67" s="14">
        <v>3.6384727751472199</v>
      </c>
      <c r="C67" s="14">
        <v>23.324466618369598</v>
      </c>
      <c r="D67" s="14">
        <v>1.35123636764232E-3</v>
      </c>
      <c r="E67" s="14">
        <v>29</v>
      </c>
      <c r="F67" s="14">
        <v>3.5802469135802401E-2</v>
      </c>
      <c r="G67" s="14" t="b">
        <v>1</v>
      </c>
      <c r="AD67" s="13"/>
    </row>
    <row r="68" spans="1:33" x14ac:dyDescent="0.2">
      <c r="A68" s="14" t="s">
        <v>75</v>
      </c>
      <c r="B68" s="14">
        <v>2.0878684254533302</v>
      </c>
      <c r="C68" s="14">
        <v>15.449947216253699</v>
      </c>
      <c r="D68" s="14">
        <v>5.37557686196279E-2</v>
      </c>
      <c r="E68" s="14">
        <v>50</v>
      </c>
      <c r="F68" s="14">
        <v>6.1728395061728301E-2</v>
      </c>
      <c r="G68" s="14" t="b">
        <v>1</v>
      </c>
      <c r="AD68" s="13"/>
    </row>
    <row r="69" spans="1:33" x14ac:dyDescent="0.2">
      <c r="A69" s="14" t="s">
        <v>76</v>
      </c>
      <c r="B69" s="14">
        <v>2.1771877241886002</v>
      </c>
      <c r="C69" s="14">
        <v>15.570079161702999</v>
      </c>
      <c r="D69" s="14">
        <v>4.5221541102954503E-2</v>
      </c>
      <c r="E69" s="14">
        <v>48</v>
      </c>
      <c r="F69" s="14">
        <v>5.9259259259259199E-2</v>
      </c>
      <c r="G69" s="14" t="b">
        <v>1</v>
      </c>
      <c r="AD69" s="13"/>
    </row>
    <row r="70" spans="1:33" x14ac:dyDescent="0.2">
      <c r="A70" s="14" t="s">
        <v>77</v>
      </c>
      <c r="B70" s="14">
        <v>2.4321605862385498</v>
      </c>
      <c r="C70" s="14">
        <v>19.294174443008799</v>
      </c>
      <c r="D70" s="14">
        <v>2.4901804846374699E-2</v>
      </c>
      <c r="E70" s="14">
        <v>45</v>
      </c>
      <c r="F70" s="14">
        <v>5.5555555555555497E-2</v>
      </c>
      <c r="G70" s="14" t="b">
        <v>1</v>
      </c>
      <c r="AD70" s="13"/>
    </row>
    <row r="71" spans="1:33" x14ac:dyDescent="0.2">
      <c r="A71" s="14" t="s">
        <v>78</v>
      </c>
      <c r="B71" s="14">
        <v>1.60564756362501</v>
      </c>
      <c r="C71" s="14">
        <v>23.501008019300802</v>
      </c>
      <c r="D71" s="14">
        <v>0.121706422961669</v>
      </c>
      <c r="E71" s="14">
        <v>60</v>
      </c>
      <c r="F71" s="14">
        <v>7.4074074074074001E-2</v>
      </c>
      <c r="G71" s="14" t="b">
        <v>0</v>
      </c>
      <c r="AD71" s="13"/>
    </row>
    <row r="72" spans="1:33" x14ac:dyDescent="0.2">
      <c r="A72" s="16" t="s">
        <v>79</v>
      </c>
      <c r="B72" s="16">
        <v>1.9932842651606999</v>
      </c>
      <c r="C72" s="16">
        <v>27.593042468407202</v>
      </c>
      <c r="D72" s="16">
        <v>5.6202716694696203E-2</v>
      </c>
      <c r="E72" s="16">
        <v>51</v>
      </c>
      <c r="F72" s="16">
        <v>6.2962962962962901E-2</v>
      </c>
      <c r="G72" s="16" t="b">
        <v>1</v>
      </c>
      <c r="H72" t="s">
        <v>96</v>
      </c>
      <c r="AG72" s="13"/>
    </row>
    <row r="73" spans="1:33" x14ac:dyDescent="0.2">
      <c r="A73" s="14" t="s">
        <v>80</v>
      </c>
      <c r="B73" s="14">
        <v>2.15478574644778</v>
      </c>
      <c r="C73" s="14">
        <v>25.0609682102872</v>
      </c>
      <c r="D73" s="14">
        <v>4.0982094076597302E-2</v>
      </c>
      <c r="E73" s="14">
        <v>47</v>
      </c>
      <c r="F73" s="14">
        <v>5.8024691358024599E-2</v>
      </c>
      <c r="G73" s="14" t="b">
        <v>1</v>
      </c>
      <c r="AG73" s="13"/>
    </row>
    <row r="74" spans="1:33" x14ac:dyDescent="0.2">
      <c r="A74" s="14" t="s">
        <v>81</v>
      </c>
      <c r="B74" s="14">
        <v>1.18507689415196</v>
      </c>
      <c r="C74" s="14">
        <v>8.9753284196237395</v>
      </c>
      <c r="D74" s="14">
        <v>0.266415454708128</v>
      </c>
      <c r="E74" s="14">
        <v>66</v>
      </c>
      <c r="F74" s="14">
        <v>8.1481481481481405E-2</v>
      </c>
      <c r="G74" s="14" t="b">
        <v>0</v>
      </c>
      <c r="AG74" s="13"/>
    </row>
    <row r="75" spans="1:33" x14ac:dyDescent="0.2">
      <c r="A75" s="14" t="s">
        <v>82</v>
      </c>
      <c r="B75" s="14">
        <v>1.7115095588688101</v>
      </c>
      <c r="C75" s="14">
        <v>10.616951944090999</v>
      </c>
      <c r="D75" s="14">
        <v>0.116000834261731</v>
      </c>
      <c r="E75" s="14">
        <v>57</v>
      </c>
      <c r="F75" s="14">
        <v>7.0370370370370305E-2</v>
      </c>
      <c r="G75" s="14" t="b">
        <v>0</v>
      </c>
      <c r="AG75" s="13"/>
    </row>
    <row r="76" spans="1:33" x14ac:dyDescent="0.2">
      <c r="A76" s="14" t="s">
        <v>83</v>
      </c>
      <c r="B76" s="14">
        <v>1.65529720581909</v>
      </c>
      <c r="C76" s="14">
        <v>11.3171374067235</v>
      </c>
      <c r="D76" s="14">
        <v>0.125304288096659</v>
      </c>
      <c r="E76" s="14">
        <v>61</v>
      </c>
      <c r="F76" s="14">
        <v>7.5308641975308593E-2</v>
      </c>
      <c r="G76" s="14" t="b">
        <v>0</v>
      </c>
      <c r="AG76" s="13"/>
    </row>
    <row r="77" spans="1:33" x14ac:dyDescent="0.2">
      <c r="A77" s="14" t="s">
        <v>84</v>
      </c>
      <c r="B77" s="14">
        <v>1.12520776893884</v>
      </c>
      <c r="C77" s="14">
        <v>8.3414199957640491</v>
      </c>
      <c r="D77" s="14">
        <v>0.291833426762107</v>
      </c>
      <c r="E77" s="14">
        <v>67</v>
      </c>
      <c r="F77" s="14">
        <v>8.2716049382715998E-2</v>
      </c>
      <c r="G77" s="14" t="b">
        <v>0</v>
      </c>
      <c r="AG77" s="13"/>
    </row>
    <row r="78" spans="1:33" x14ac:dyDescent="0.2">
      <c r="A78" s="14" t="s">
        <v>85</v>
      </c>
      <c r="B78" s="14">
        <v>1.0902166626868099</v>
      </c>
      <c r="C78" s="14">
        <v>7.31741004843387</v>
      </c>
      <c r="D78" s="14">
        <v>0.31021207396390199</v>
      </c>
      <c r="E78" s="14">
        <v>70</v>
      </c>
      <c r="F78" s="14">
        <v>8.6419753086419707E-2</v>
      </c>
      <c r="G78" s="14" t="b">
        <v>0</v>
      </c>
      <c r="AG78" s="13"/>
    </row>
    <row r="79" spans="1:33" x14ac:dyDescent="0.2">
      <c r="A79" s="14" t="s">
        <v>86</v>
      </c>
      <c r="B79" s="14">
        <v>0.96273171312673</v>
      </c>
      <c r="C79" s="14">
        <v>7.9352936866228303</v>
      </c>
      <c r="D79" s="14">
        <v>0.36409783082643798</v>
      </c>
      <c r="E79" s="14">
        <v>76</v>
      </c>
      <c r="F79" s="14">
        <v>9.3827160493827097E-2</v>
      </c>
      <c r="G79" s="14" t="b">
        <v>0</v>
      </c>
      <c r="AG79" s="13"/>
    </row>
    <row r="80" spans="1:33" x14ac:dyDescent="0.2">
      <c r="A80" s="14" t="s">
        <v>87</v>
      </c>
      <c r="B80" s="14">
        <v>3.38654340970032</v>
      </c>
      <c r="C80" s="14">
        <v>24.904115785815002</v>
      </c>
      <c r="D80" s="14">
        <v>2.3525319424150498E-3</v>
      </c>
      <c r="E80" s="14">
        <v>30</v>
      </c>
      <c r="F80" s="14">
        <v>3.7037037037037E-2</v>
      </c>
      <c r="G80" s="14" t="b">
        <v>1</v>
      </c>
      <c r="AG80" s="13"/>
    </row>
    <row r="81" spans="1:7" x14ac:dyDescent="0.2">
      <c r="A81" s="14" t="s">
        <v>88</v>
      </c>
      <c r="B81" s="14">
        <v>3.3276924604501801</v>
      </c>
      <c r="C81" s="14">
        <v>27.095929051885999</v>
      </c>
      <c r="D81" s="14">
        <v>2.5287856768136702E-3</v>
      </c>
      <c r="E81" s="14">
        <v>31</v>
      </c>
      <c r="F81" s="14">
        <v>3.82716049382716E-2</v>
      </c>
      <c r="G81" s="14" t="b">
        <v>1</v>
      </c>
    </row>
    <row r="82" spans="1:7" x14ac:dyDescent="0.2">
      <c r="A82" s="14" t="s">
        <v>89</v>
      </c>
      <c r="B82" s="14">
        <v>2.9526459912926102</v>
      </c>
      <c r="C82" s="14">
        <v>27.5487466839345</v>
      </c>
      <c r="D82" s="14">
        <v>6.3740347195954698E-3</v>
      </c>
      <c r="E82" s="14">
        <v>38</v>
      </c>
      <c r="F82" s="14">
        <v>4.69135802469135E-2</v>
      </c>
      <c r="G82" s="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S2</vt:lpstr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Shin</dc:creator>
  <cp:lastModifiedBy>Eric South</cp:lastModifiedBy>
  <dcterms:created xsi:type="dcterms:W3CDTF">2021-11-24T17:34:51Z</dcterms:created>
  <dcterms:modified xsi:type="dcterms:W3CDTF">2022-03-05T22:55:31Z</dcterms:modified>
</cp:coreProperties>
</file>